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chi\Downloads\"/>
    </mc:Choice>
  </mc:AlternateContent>
  <xr:revisionPtr revIDLastSave="0" documentId="13_ncr:1_{E8CCF582-948C-4394-92D9-1E8F06417C49}"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504" i="1" l="1"/>
  <c r="AW504" i="1" s="1"/>
  <c r="AX504" i="1" s="1"/>
  <c r="AB504" i="1"/>
  <c r="AV503" i="1"/>
  <c r="AW503" i="1" s="1"/>
  <c r="AX503" i="1" s="1"/>
  <c r="AB503" i="1"/>
  <c r="AV502" i="1"/>
  <c r="AW502" i="1" s="1"/>
  <c r="AX502" i="1" s="1"/>
  <c r="AB502" i="1"/>
  <c r="AV501" i="1"/>
  <c r="AW501" i="1" s="1"/>
  <c r="AX501" i="1" s="1"/>
  <c r="AB501" i="1"/>
  <c r="AV500" i="1"/>
  <c r="AW500" i="1" s="1"/>
  <c r="AX500" i="1" s="1"/>
  <c r="AB500" i="1"/>
  <c r="AV499" i="1"/>
  <c r="AW499" i="1" s="1"/>
  <c r="AX499" i="1" s="1"/>
  <c r="AB499" i="1"/>
  <c r="AV498" i="1"/>
  <c r="AW498" i="1" s="1"/>
  <c r="AX498" i="1" s="1"/>
  <c r="AB498" i="1"/>
  <c r="AV497" i="1"/>
  <c r="AW497" i="1" s="1"/>
  <c r="AX497" i="1" s="1"/>
  <c r="AB497" i="1"/>
  <c r="AV496" i="1"/>
  <c r="AW496" i="1" s="1"/>
  <c r="AX496" i="1" s="1"/>
  <c r="AB496" i="1"/>
  <c r="AV495" i="1"/>
  <c r="AW495" i="1" s="1"/>
  <c r="AX495" i="1" s="1"/>
  <c r="AB495" i="1"/>
  <c r="AV494" i="1"/>
  <c r="AB494" i="1" s="1"/>
  <c r="AG494" i="1" a="1"/>
  <c r="AG494" i="1" s="1"/>
  <c r="AD494" i="1"/>
  <c r="AD495" i="1" s="1"/>
  <c r="AD496" i="1" s="1"/>
  <c r="AD497" i="1" s="1"/>
  <c r="AD498" i="1" s="1"/>
  <c r="AD499" i="1" s="1"/>
  <c r="AD500" i="1" s="1"/>
  <c r="AD501" i="1" s="1"/>
  <c r="AD502" i="1" s="1"/>
  <c r="AD503" i="1" s="1"/>
  <c r="AD504" i="1" s="1"/>
  <c r="AV492" i="1"/>
  <c r="AW492" i="1" s="1"/>
  <c r="AX492" i="1" s="1"/>
  <c r="AB492" i="1"/>
  <c r="AV491" i="1"/>
  <c r="AW491" i="1" s="1"/>
  <c r="AX491" i="1" s="1"/>
  <c r="AB491" i="1"/>
  <c r="AV490" i="1"/>
  <c r="AW490" i="1" s="1"/>
  <c r="AX490" i="1" s="1"/>
  <c r="AB490" i="1"/>
  <c r="AV489" i="1"/>
  <c r="AW489" i="1" s="1"/>
  <c r="AX489" i="1" s="1"/>
  <c r="AB489" i="1"/>
  <c r="AV488" i="1"/>
  <c r="AW488" i="1" s="1"/>
  <c r="AX488" i="1" s="1"/>
  <c r="AB488" i="1"/>
  <c r="AV487" i="1"/>
  <c r="AW487" i="1" s="1"/>
  <c r="AX487" i="1" s="1"/>
  <c r="AB487" i="1"/>
  <c r="AV486" i="1"/>
  <c r="AW486" i="1" s="1"/>
  <c r="AX486" i="1" s="1"/>
  <c r="AB486" i="1"/>
  <c r="AV485" i="1"/>
  <c r="AW485" i="1" s="1"/>
  <c r="AX485" i="1" s="1"/>
  <c r="AB485" i="1"/>
  <c r="AV484" i="1"/>
  <c r="AW484" i="1" s="1"/>
  <c r="AX484" i="1" s="1"/>
  <c r="AB484" i="1"/>
  <c r="AV483" i="1"/>
  <c r="AW483" i="1" s="1"/>
  <c r="AX483" i="1" s="1"/>
  <c r="AB483" i="1"/>
  <c r="AV482" i="1"/>
  <c r="AB482" i="1" s="1"/>
  <c r="AG482" i="1"/>
  <c r="AL482" i="1" s="1"/>
  <c r="AG482" i="1" a="1"/>
  <c r="AD482" i="1"/>
  <c r="AD483" i="1" s="1"/>
  <c r="AD484" i="1" s="1"/>
  <c r="AD485" i="1" s="1"/>
  <c r="AD486" i="1" s="1"/>
  <c r="AD487" i="1" s="1"/>
  <c r="AD488" i="1" s="1"/>
  <c r="AD489" i="1" s="1"/>
  <c r="AD490" i="1" s="1"/>
  <c r="AD491" i="1" s="1"/>
  <c r="AD492" i="1" s="1"/>
  <c r="AV480" i="1"/>
  <c r="AW480" i="1" s="1"/>
  <c r="AX480" i="1" s="1"/>
  <c r="AB480" i="1"/>
  <c r="AV479" i="1"/>
  <c r="AW479" i="1" s="1"/>
  <c r="AX479" i="1" s="1"/>
  <c r="AB479" i="1"/>
  <c r="AV478" i="1"/>
  <c r="AW478" i="1" s="1"/>
  <c r="AX478" i="1" s="1"/>
  <c r="AB478" i="1"/>
  <c r="AV477" i="1"/>
  <c r="AW477" i="1" s="1"/>
  <c r="AX477" i="1" s="1"/>
  <c r="AB477" i="1"/>
  <c r="AV476" i="1"/>
  <c r="AW476" i="1" s="1"/>
  <c r="AX476" i="1" s="1"/>
  <c r="AB476" i="1"/>
  <c r="AV475" i="1"/>
  <c r="AW475" i="1" s="1"/>
  <c r="AX475" i="1" s="1"/>
  <c r="AB475" i="1"/>
  <c r="AV474" i="1"/>
  <c r="AW474" i="1" s="1"/>
  <c r="AX474" i="1" s="1"/>
  <c r="AB474" i="1"/>
  <c r="AV473" i="1"/>
  <c r="AW473" i="1" s="1"/>
  <c r="AX473" i="1" s="1"/>
  <c r="AB473" i="1"/>
  <c r="AV472" i="1"/>
  <c r="AW472" i="1" s="1"/>
  <c r="AX472" i="1" s="1"/>
  <c r="AB472" i="1"/>
  <c r="AV471" i="1"/>
  <c r="AW471" i="1" s="1"/>
  <c r="AX471" i="1" s="1"/>
  <c r="AV470" i="1"/>
  <c r="AB470" i="1" s="1"/>
  <c r="AG470" i="1"/>
  <c r="AL470" i="1" s="1"/>
  <c r="AG470" i="1" a="1"/>
  <c r="AV468" i="1"/>
  <c r="AW468" i="1" s="1"/>
  <c r="AX468" i="1" s="1"/>
  <c r="AB468" i="1"/>
  <c r="AV467" i="1"/>
  <c r="AW467" i="1" s="1"/>
  <c r="AX467" i="1" s="1"/>
  <c r="AB467" i="1"/>
  <c r="AV466" i="1"/>
  <c r="AW466" i="1" s="1"/>
  <c r="AX466" i="1" s="1"/>
  <c r="AB466" i="1"/>
  <c r="AV465" i="1"/>
  <c r="AW465" i="1" s="1"/>
  <c r="AX465" i="1" s="1"/>
  <c r="AB465" i="1"/>
  <c r="AV464" i="1"/>
  <c r="AW464" i="1" s="1"/>
  <c r="AX464" i="1" s="1"/>
  <c r="AB464" i="1"/>
  <c r="AV463" i="1"/>
  <c r="AW463" i="1" s="1"/>
  <c r="AX463" i="1" s="1"/>
  <c r="AB463" i="1"/>
  <c r="AV462" i="1"/>
  <c r="AW462" i="1" s="1"/>
  <c r="AX462" i="1" s="1"/>
  <c r="AB462" i="1"/>
  <c r="AV461" i="1"/>
  <c r="AW461" i="1" s="1"/>
  <c r="AX461" i="1" s="1"/>
  <c r="AB461" i="1"/>
  <c r="AV460" i="1"/>
  <c r="AW460" i="1" s="1"/>
  <c r="AX460" i="1" s="1"/>
  <c r="AB460" i="1"/>
  <c r="AV459" i="1"/>
  <c r="AW459" i="1" s="1"/>
  <c r="AX459" i="1" s="1"/>
  <c r="AB459" i="1"/>
  <c r="AV458" i="1"/>
  <c r="AB458" i="1" s="1"/>
  <c r="AG458" i="1" a="1"/>
  <c r="AG458" i="1" s="1"/>
  <c r="AV456" i="1"/>
  <c r="AW456" i="1" s="1"/>
  <c r="AX456" i="1" s="1"/>
  <c r="AB456" i="1"/>
  <c r="AV455" i="1"/>
  <c r="AW455" i="1" s="1"/>
  <c r="AX455" i="1" s="1"/>
  <c r="AB455" i="1"/>
  <c r="AV454" i="1"/>
  <c r="AW454" i="1" s="1"/>
  <c r="AX454" i="1" s="1"/>
  <c r="AB454" i="1"/>
  <c r="AV453" i="1"/>
  <c r="AW453" i="1" s="1"/>
  <c r="AX453" i="1" s="1"/>
  <c r="AB453" i="1"/>
  <c r="AV452" i="1"/>
  <c r="AW452" i="1" s="1"/>
  <c r="AX452" i="1" s="1"/>
  <c r="AB452" i="1"/>
  <c r="AV451" i="1"/>
  <c r="AW451" i="1" s="1"/>
  <c r="AX451" i="1" s="1"/>
  <c r="AB451" i="1"/>
  <c r="AV450" i="1"/>
  <c r="AW450" i="1" s="1"/>
  <c r="AX450" i="1" s="1"/>
  <c r="AB450" i="1"/>
  <c r="AV449" i="1"/>
  <c r="AW449" i="1" s="1"/>
  <c r="AX449" i="1" s="1"/>
  <c r="AB449" i="1"/>
  <c r="AV448" i="1"/>
  <c r="AW448" i="1" s="1"/>
  <c r="AX448" i="1" s="1"/>
  <c r="AB448" i="1"/>
  <c r="AV447" i="1"/>
  <c r="AW447" i="1" s="1"/>
  <c r="AX447" i="1" s="1"/>
  <c r="AB447" i="1"/>
  <c r="AV446" i="1"/>
  <c r="AB446" i="1" s="1"/>
  <c r="AG446" i="1" a="1"/>
  <c r="AG446" i="1" s="1"/>
  <c r="AW444" i="1"/>
  <c r="AX444" i="1" s="1"/>
  <c r="AV444" i="1"/>
  <c r="AB444" i="1"/>
  <c r="AV443" i="1"/>
  <c r="AW443" i="1" s="1"/>
  <c r="AX443" i="1" s="1"/>
  <c r="AB443" i="1"/>
  <c r="AV442" i="1"/>
  <c r="AW442" i="1" s="1"/>
  <c r="AX442" i="1" s="1"/>
  <c r="AB442" i="1"/>
  <c r="AV441" i="1"/>
  <c r="AW441" i="1" s="1"/>
  <c r="AX441" i="1" s="1"/>
  <c r="AB441" i="1"/>
  <c r="AV440" i="1"/>
  <c r="AW440" i="1" s="1"/>
  <c r="AX440" i="1" s="1"/>
  <c r="AB440" i="1"/>
  <c r="AV439" i="1"/>
  <c r="AW439" i="1" s="1"/>
  <c r="AX439" i="1" s="1"/>
  <c r="AB439" i="1"/>
  <c r="AV438" i="1"/>
  <c r="AW438" i="1" s="1"/>
  <c r="AX438" i="1" s="1"/>
  <c r="AB438" i="1"/>
  <c r="AV437" i="1"/>
  <c r="AW437" i="1" s="1"/>
  <c r="AX437" i="1" s="1"/>
  <c r="AB437" i="1"/>
  <c r="AV436" i="1"/>
  <c r="AW436" i="1" s="1"/>
  <c r="AX436" i="1" s="1"/>
  <c r="AB436" i="1"/>
  <c r="AV435" i="1"/>
  <c r="AW435" i="1" s="1"/>
  <c r="AX435" i="1" s="1"/>
  <c r="AB435" i="1"/>
  <c r="AV434" i="1"/>
  <c r="AB434" i="1" s="1"/>
  <c r="AG434" i="1" a="1"/>
  <c r="AG434" i="1" s="1"/>
  <c r="AD434" i="1"/>
  <c r="AD435" i="1" s="1"/>
  <c r="AD436" i="1" s="1"/>
  <c r="AD437" i="1" s="1"/>
  <c r="AD438" i="1" s="1"/>
  <c r="AD439" i="1" s="1"/>
  <c r="AD440" i="1" s="1"/>
  <c r="AD441" i="1" s="1"/>
  <c r="AD442" i="1" s="1"/>
  <c r="AD443" i="1" s="1"/>
  <c r="AD444" i="1" s="1"/>
  <c r="AV432" i="1"/>
  <c r="AW432" i="1" s="1"/>
  <c r="AX432" i="1" s="1"/>
  <c r="AB432" i="1"/>
  <c r="AV431" i="1"/>
  <c r="AW431" i="1" s="1"/>
  <c r="AX431" i="1" s="1"/>
  <c r="AB431" i="1"/>
  <c r="AV430" i="1"/>
  <c r="AW430" i="1" s="1"/>
  <c r="AX430" i="1" s="1"/>
  <c r="AB430" i="1"/>
  <c r="AV429" i="1"/>
  <c r="AW429" i="1" s="1"/>
  <c r="AX429" i="1" s="1"/>
  <c r="AB429" i="1"/>
  <c r="AV428" i="1"/>
  <c r="AW428" i="1" s="1"/>
  <c r="AX428" i="1" s="1"/>
  <c r="AB428" i="1"/>
  <c r="AV427" i="1"/>
  <c r="AW427" i="1" s="1"/>
  <c r="AX427" i="1" s="1"/>
  <c r="AB427" i="1"/>
  <c r="AV426" i="1"/>
  <c r="AW426" i="1" s="1"/>
  <c r="AX426" i="1" s="1"/>
  <c r="AB426" i="1"/>
  <c r="AV425" i="1"/>
  <c r="AW425" i="1" s="1"/>
  <c r="AX425" i="1" s="1"/>
  <c r="AB425" i="1"/>
  <c r="AV424" i="1"/>
  <c r="AW424" i="1" s="1"/>
  <c r="AX424" i="1" s="1"/>
  <c r="AB424" i="1"/>
  <c r="AV423" i="1"/>
  <c r="AW423" i="1" s="1"/>
  <c r="AX423" i="1" s="1"/>
  <c r="AB423" i="1"/>
  <c r="AV422" i="1"/>
  <c r="AB422" i="1" s="1"/>
  <c r="AG422" i="1" a="1"/>
  <c r="AG422" i="1" s="1"/>
  <c r="AV420" i="1"/>
  <c r="AW420" i="1" s="1"/>
  <c r="AX420" i="1" s="1"/>
  <c r="AB420" i="1"/>
  <c r="AV419" i="1"/>
  <c r="AW419" i="1" s="1"/>
  <c r="AX419" i="1" s="1"/>
  <c r="AB419" i="1"/>
  <c r="AV418" i="1"/>
  <c r="AW418" i="1" s="1"/>
  <c r="AX418" i="1" s="1"/>
  <c r="AB418" i="1"/>
  <c r="AV417" i="1"/>
  <c r="AW417" i="1" s="1"/>
  <c r="AX417" i="1" s="1"/>
  <c r="AB417" i="1"/>
  <c r="AV416" i="1"/>
  <c r="AW416" i="1" s="1"/>
  <c r="AX416" i="1" s="1"/>
  <c r="AB416" i="1"/>
  <c r="AV415" i="1"/>
  <c r="AW415" i="1" s="1"/>
  <c r="AX415" i="1" s="1"/>
  <c r="AB415" i="1"/>
  <c r="AV414" i="1"/>
  <c r="AW414" i="1" s="1"/>
  <c r="AX414" i="1" s="1"/>
  <c r="AB414" i="1"/>
  <c r="AV413" i="1"/>
  <c r="AW413" i="1" s="1"/>
  <c r="AX413" i="1" s="1"/>
  <c r="AB413" i="1"/>
  <c r="AV412" i="1"/>
  <c r="AW412" i="1" s="1"/>
  <c r="AX412" i="1" s="1"/>
  <c r="AB412" i="1"/>
  <c r="AV411" i="1"/>
  <c r="AW411" i="1" s="1"/>
  <c r="AX411" i="1" s="1"/>
  <c r="AB411" i="1"/>
  <c r="AV410" i="1"/>
  <c r="AW410" i="1" s="1"/>
  <c r="AG410" i="1" a="1"/>
  <c r="AG410" i="1" s="1"/>
  <c r="AB410" i="1"/>
  <c r="AV408" i="1"/>
  <c r="AW408" i="1" s="1"/>
  <c r="AX408" i="1" s="1"/>
  <c r="AB408" i="1"/>
  <c r="AV407" i="1"/>
  <c r="AW407" i="1" s="1"/>
  <c r="AX407" i="1" s="1"/>
  <c r="AB407" i="1"/>
  <c r="AV406" i="1"/>
  <c r="AW406" i="1" s="1"/>
  <c r="AX406" i="1" s="1"/>
  <c r="AB406" i="1"/>
  <c r="AV405" i="1"/>
  <c r="AW405" i="1" s="1"/>
  <c r="AX405" i="1" s="1"/>
  <c r="AB405" i="1"/>
  <c r="AV404" i="1"/>
  <c r="AW404" i="1" s="1"/>
  <c r="AX404" i="1" s="1"/>
  <c r="AB404" i="1"/>
  <c r="AV403" i="1"/>
  <c r="AW403" i="1" s="1"/>
  <c r="AX403" i="1" s="1"/>
  <c r="AB403" i="1"/>
  <c r="AV402" i="1"/>
  <c r="AW402" i="1" s="1"/>
  <c r="AX402" i="1" s="1"/>
  <c r="AB402" i="1"/>
  <c r="AV401" i="1"/>
  <c r="AW401" i="1" s="1"/>
  <c r="AX401" i="1" s="1"/>
  <c r="AB401" i="1"/>
  <c r="AV400" i="1"/>
  <c r="AW400" i="1" s="1"/>
  <c r="AX400" i="1" s="1"/>
  <c r="AB400" i="1"/>
  <c r="AV399" i="1"/>
  <c r="AW399" i="1" s="1"/>
  <c r="AX399" i="1" s="1"/>
  <c r="AB399" i="1"/>
  <c r="AV398" i="1"/>
  <c r="AB398" i="1" s="1"/>
  <c r="AG398" i="1" a="1"/>
  <c r="AG398" i="1" s="1"/>
  <c r="AV396" i="1"/>
  <c r="AW396" i="1" s="1"/>
  <c r="AX396" i="1" s="1"/>
  <c r="AB396" i="1"/>
  <c r="AV395" i="1"/>
  <c r="AW395" i="1" s="1"/>
  <c r="AX395" i="1" s="1"/>
  <c r="AB395" i="1"/>
  <c r="AV394" i="1"/>
  <c r="AW394" i="1" s="1"/>
  <c r="AX394" i="1" s="1"/>
  <c r="AB394" i="1"/>
  <c r="AV393" i="1"/>
  <c r="AW393" i="1" s="1"/>
  <c r="AX393" i="1" s="1"/>
  <c r="AB393" i="1"/>
  <c r="AV392" i="1"/>
  <c r="AW392" i="1" s="1"/>
  <c r="AX392" i="1" s="1"/>
  <c r="AB392" i="1"/>
  <c r="AV391" i="1"/>
  <c r="AW391" i="1" s="1"/>
  <c r="AX391" i="1" s="1"/>
  <c r="AB391" i="1"/>
  <c r="AV390" i="1"/>
  <c r="AW390" i="1" s="1"/>
  <c r="AX390" i="1" s="1"/>
  <c r="AB390" i="1"/>
  <c r="AV389" i="1"/>
  <c r="AW389" i="1" s="1"/>
  <c r="AX389" i="1" s="1"/>
  <c r="AB389" i="1"/>
  <c r="AV388" i="1"/>
  <c r="AW388" i="1" s="1"/>
  <c r="AX388" i="1" s="1"/>
  <c r="AB388" i="1"/>
  <c r="AV387" i="1"/>
  <c r="AW387" i="1" s="1"/>
  <c r="AX387" i="1" s="1"/>
  <c r="AB387" i="1"/>
  <c r="AV386" i="1"/>
  <c r="AB386" i="1" s="1"/>
  <c r="AG386" i="1"/>
  <c r="AL386" i="1" s="1"/>
  <c r="AG386" i="1" a="1"/>
  <c r="AD386" i="1"/>
  <c r="AD387" i="1" s="1"/>
  <c r="AD388" i="1" s="1"/>
  <c r="AD389" i="1" s="1"/>
  <c r="AD390" i="1" s="1"/>
  <c r="AD391" i="1" s="1"/>
  <c r="AD392" i="1" s="1"/>
  <c r="AD393" i="1" s="1"/>
  <c r="AD394" i="1" s="1"/>
  <c r="AD395" i="1" s="1"/>
  <c r="AD396" i="1" s="1"/>
  <c r="AV384" i="1"/>
  <c r="AW384" i="1" s="1"/>
  <c r="AX384" i="1" s="1"/>
  <c r="AB384" i="1"/>
  <c r="AV383" i="1"/>
  <c r="AW383" i="1" s="1"/>
  <c r="AX383" i="1" s="1"/>
  <c r="AB383" i="1"/>
  <c r="AV382" i="1"/>
  <c r="AW382" i="1" s="1"/>
  <c r="AX382" i="1" s="1"/>
  <c r="AB382" i="1"/>
  <c r="AV381" i="1"/>
  <c r="AW381" i="1" s="1"/>
  <c r="AX381" i="1" s="1"/>
  <c r="AB381" i="1"/>
  <c r="AV380" i="1"/>
  <c r="AW380" i="1" s="1"/>
  <c r="AX380" i="1" s="1"/>
  <c r="AB380" i="1"/>
  <c r="AV379" i="1"/>
  <c r="AW379" i="1" s="1"/>
  <c r="AX379" i="1" s="1"/>
  <c r="AB379" i="1"/>
  <c r="AV378" i="1"/>
  <c r="AW378" i="1" s="1"/>
  <c r="AX378" i="1" s="1"/>
  <c r="AB378" i="1"/>
  <c r="AV377" i="1"/>
  <c r="AW377" i="1" s="1"/>
  <c r="AX377" i="1" s="1"/>
  <c r="AB377" i="1"/>
  <c r="AV376" i="1"/>
  <c r="AW376" i="1" s="1"/>
  <c r="AX376" i="1" s="1"/>
  <c r="AB376" i="1"/>
  <c r="AV375" i="1"/>
  <c r="AW375" i="1" s="1"/>
  <c r="AX375" i="1" s="1"/>
  <c r="AB375" i="1"/>
  <c r="AV374" i="1"/>
  <c r="AB374" i="1" s="1"/>
  <c r="AG374" i="1" a="1"/>
  <c r="AG374" i="1" s="1"/>
  <c r="AD374" i="1"/>
  <c r="AD375" i="1" s="1"/>
  <c r="AD376" i="1" s="1"/>
  <c r="AD377" i="1" s="1"/>
  <c r="AD378" i="1" s="1"/>
  <c r="AD379" i="1" s="1"/>
  <c r="AD380" i="1" s="1"/>
  <c r="AD381" i="1" s="1"/>
  <c r="AD382" i="1" s="1"/>
  <c r="AD383" i="1" s="1"/>
  <c r="AD384" i="1" s="1"/>
  <c r="AV372" i="1"/>
  <c r="AW372" i="1" s="1"/>
  <c r="AX372" i="1" s="1"/>
  <c r="AB372" i="1"/>
  <c r="AV371" i="1"/>
  <c r="AW371" i="1" s="1"/>
  <c r="AX371" i="1" s="1"/>
  <c r="AB371" i="1"/>
  <c r="AV370" i="1"/>
  <c r="AW370" i="1" s="1"/>
  <c r="AX370" i="1" s="1"/>
  <c r="AB370" i="1"/>
  <c r="AV369" i="1"/>
  <c r="AW369" i="1" s="1"/>
  <c r="AX369" i="1" s="1"/>
  <c r="AB369" i="1"/>
  <c r="AV368" i="1"/>
  <c r="AW368" i="1" s="1"/>
  <c r="AX368" i="1" s="1"/>
  <c r="AB368" i="1"/>
  <c r="AV367" i="1"/>
  <c r="AW367" i="1" s="1"/>
  <c r="AX367" i="1" s="1"/>
  <c r="AB367" i="1"/>
  <c r="AV366" i="1"/>
  <c r="AW366" i="1" s="1"/>
  <c r="AX366" i="1" s="1"/>
  <c r="AB366" i="1"/>
  <c r="AV365" i="1"/>
  <c r="AW365" i="1" s="1"/>
  <c r="AX365" i="1" s="1"/>
  <c r="AB365" i="1"/>
  <c r="AV364" i="1"/>
  <c r="AW364" i="1" s="1"/>
  <c r="AX364" i="1" s="1"/>
  <c r="AB364" i="1"/>
  <c r="AV363" i="1"/>
  <c r="AW363" i="1" s="1"/>
  <c r="AX363" i="1" s="1"/>
  <c r="AB363" i="1"/>
  <c r="AV362" i="1"/>
  <c r="AB362" i="1" s="1"/>
  <c r="AG362" i="1"/>
  <c r="AL362" i="1" s="1"/>
  <c r="AG362" i="1" a="1"/>
  <c r="AV360" i="1"/>
  <c r="AW360" i="1" s="1"/>
  <c r="AX360" i="1" s="1"/>
  <c r="AB360" i="1"/>
  <c r="AV359" i="1"/>
  <c r="AW359" i="1" s="1"/>
  <c r="AX359" i="1" s="1"/>
  <c r="AB359" i="1"/>
  <c r="AV358" i="1"/>
  <c r="AW358" i="1" s="1"/>
  <c r="AX358" i="1" s="1"/>
  <c r="AB358" i="1"/>
  <c r="AV357" i="1"/>
  <c r="AW357" i="1" s="1"/>
  <c r="AX357" i="1" s="1"/>
  <c r="AB357" i="1"/>
  <c r="AV356" i="1"/>
  <c r="AW356" i="1" s="1"/>
  <c r="AX356" i="1" s="1"/>
  <c r="AB356" i="1"/>
  <c r="AV355" i="1"/>
  <c r="AW355" i="1" s="1"/>
  <c r="AX355" i="1" s="1"/>
  <c r="AB355" i="1"/>
  <c r="AV354" i="1"/>
  <c r="AW354" i="1" s="1"/>
  <c r="AX354" i="1" s="1"/>
  <c r="AB354" i="1"/>
  <c r="AV353" i="1"/>
  <c r="AW353" i="1" s="1"/>
  <c r="AX353" i="1" s="1"/>
  <c r="AB353" i="1"/>
  <c r="AV352" i="1"/>
  <c r="AW352" i="1" s="1"/>
  <c r="AX352" i="1" s="1"/>
  <c r="AB352" i="1"/>
  <c r="AV351" i="1"/>
  <c r="AW351" i="1" s="1"/>
  <c r="AX351" i="1" s="1"/>
  <c r="AB351" i="1"/>
  <c r="AV350" i="1"/>
  <c r="AB350" i="1" s="1"/>
  <c r="AG350" i="1" a="1"/>
  <c r="AG350" i="1" s="1"/>
  <c r="AD350" i="1"/>
  <c r="AD351" i="1" s="1"/>
  <c r="AD352" i="1" s="1"/>
  <c r="AD353" i="1" s="1"/>
  <c r="AD354" i="1" s="1"/>
  <c r="AD355" i="1" s="1"/>
  <c r="AD356" i="1" s="1"/>
  <c r="AD357" i="1" s="1"/>
  <c r="AD358" i="1" s="1"/>
  <c r="AD359" i="1" s="1"/>
  <c r="AD360" i="1" s="1"/>
  <c r="AV348" i="1"/>
  <c r="AW348" i="1" s="1"/>
  <c r="AX348" i="1" s="1"/>
  <c r="AB348" i="1"/>
  <c r="AV347" i="1"/>
  <c r="AW347" i="1" s="1"/>
  <c r="AX347" i="1" s="1"/>
  <c r="AB347" i="1"/>
  <c r="AV346" i="1"/>
  <c r="AW346" i="1" s="1"/>
  <c r="AX346" i="1" s="1"/>
  <c r="AB346" i="1"/>
  <c r="AV345" i="1"/>
  <c r="AW345" i="1" s="1"/>
  <c r="AX345" i="1" s="1"/>
  <c r="AB345" i="1"/>
  <c r="AV344" i="1"/>
  <c r="AW344" i="1" s="1"/>
  <c r="AX344" i="1" s="1"/>
  <c r="AB344" i="1"/>
  <c r="AV343" i="1"/>
  <c r="AW343" i="1" s="1"/>
  <c r="AX343" i="1" s="1"/>
  <c r="AB343" i="1"/>
  <c r="AV342" i="1"/>
  <c r="AW342" i="1" s="1"/>
  <c r="AX342" i="1" s="1"/>
  <c r="AB342" i="1"/>
  <c r="AV341" i="1"/>
  <c r="AW341" i="1" s="1"/>
  <c r="AX341" i="1" s="1"/>
  <c r="AB341" i="1"/>
  <c r="AV340" i="1"/>
  <c r="AW340" i="1" s="1"/>
  <c r="AX340" i="1" s="1"/>
  <c r="AB340" i="1"/>
  <c r="AV339" i="1"/>
  <c r="AW339" i="1" s="1"/>
  <c r="AX339" i="1" s="1"/>
  <c r="AV338" i="1"/>
  <c r="AW338" i="1" s="1"/>
  <c r="AG338" i="1" a="1"/>
  <c r="AG338" i="1" s="1"/>
  <c r="AB338" i="1"/>
  <c r="AV336" i="1"/>
  <c r="AW336" i="1" s="1"/>
  <c r="AX336" i="1" s="1"/>
  <c r="AB336" i="1"/>
  <c r="AV335" i="1"/>
  <c r="AW335" i="1" s="1"/>
  <c r="AX335" i="1" s="1"/>
  <c r="AB335" i="1"/>
  <c r="AV334" i="1"/>
  <c r="AW334" i="1" s="1"/>
  <c r="AX334" i="1" s="1"/>
  <c r="AB334" i="1"/>
  <c r="AV333" i="1"/>
  <c r="AW333" i="1" s="1"/>
  <c r="AX333" i="1" s="1"/>
  <c r="AB333" i="1"/>
  <c r="AV332" i="1"/>
  <c r="AW332" i="1" s="1"/>
  <c r="AX332" i="1" s="1"/>
  <c r="AB332" i="1"/>
  <c r="AV331" i="1"/>
  <c r="AW331" i="1" s="1"/>
  <c r="AX331" i="1" s="1"/>
  <c r="AB331" i="1"/>
  <c r="AV330" i="1"/>
  <c r="AW330" i="1" s="1"/>
  <c r="AX330" i="1" s="1"/>
  <c r="AB330" i="1"/>
  <c r="AV329" i="1"/>
  <c r="AW329" i="1" s="1"/>
  <c r="AX329" i="1" s="1"/>
  <c r="AB329" i="1"/>
  <c r="AV328" i="1"/>
  <c r="AW328" i="1" s="1"/>
  <c r="AX328" i="1" s="1"/>
  <c r="AB328" i="1"/>
  <c r="AV327" i="1"/>
  <c r="AW327" i="1" s="1"/>
  <c r="AX327" i="1" s="1"/>
  <c r="AB327" i="1"/>
  <c r="AV326" i="1"/>
  <c r="AB326" i="1" s="1"/>
  <c r="AG326" i="1" a="1"/>
  <c r="AG326" i="1" s="1"/>
  <c r="AW324" i="1"/>
  <c r="AX324" i="1" s="1"/>
  <c r="AV324" i="1"/>
  <c r="AB324" i="1"/>
  <c r="AW323" i="1"/>
  <c r="AX323" i="1" s="1"/>
  <c r="AV323" i="1"/>
  <c r="AB323" i="1"/>
  <c r="AW322" i="1"/>
  <c r="AX322" i="1" s="1"/>
  <c r="AV322" i="1"/>
  <c r="AB322" i="1"/>
  <c r="AW321" i="1"/>
  <c r="AX321" i="1" s="1"/>
  <c r="AV321" i="1"/>
  <c r="AB321" i="1"/>
  <c r="AW320" i="1"/>
  <c r="AX320" i="1" s="1"/>
  <c r="AV320" i="1"/>
  <c r="AB320" i="1"/>
  <c r="AW319" i="1"/>
  <c r="AX319" i="1" s="1"/>
  <c r="AV319" i="1"/>
  <c r="AB319" i="1"/>
  <c r="AW318" i="1"/>
  <c r="AX318" i="1" s="1"/>
  <c r="AV318" i="1"/>
  <c r="AB318" i="1"/>
  <c r="AW317" i="1"/>
  <c r="AX317" i="1" s="1"/>
  <c r="AV317" i="1"/>
  <c r="AB317" i="1"/>
  <c r="AV316" i="1"/>
  <c r="AW316" i="1" s="1"/>
  <c r="AX316" i="1" s="1"/>
  <c r="AB316" i="1"/>
  <c r="AV315" i="1"/>
  <c r="AW315" i="1" s="1"/>
  <c r="AX315" i="1" s="1"/>
  <c r="AB315" i="1"/>
  <c r="AV314" i="1"/>
  <c r="AB314" i="1" s="1"/>
  <c r="AG314" i="1" a="1"/>
  <c r="AG314" i="1" s="1"/>
  <c r="AV312" i="1"/>
  <c r="AW312" i="1" s="1"/>
  <c r="AX312" i="1" s="1"/>
  <c r="AB312" i="1"/>
  <c r="AV311" i="1"/>
  <c r="AW311" i="1" s="1"/>
  <c r="AX311" i="1" s="1"/>
  <c r="AB311" i="1"/>
  <c r="AV310" i="1"/>
  <c r="AW310" i="1" s="1"/>
  <c r="AX310" i="1" s="1"/>
  <c r="AB310" i="1"/>
  <c r="AV309" i="1"/>
  <c r="AW309" i="1" s="1"/>
  <c r="AX309" i="1" s="1"/>
  <c r="AB309" i="1"/>
  <c r="AV308" i="1"/>
  <c r="AW308" i="1" s="1"/>
  <c r="AX308" i="1" s="1"/>
  <c r="AB308" i="1"/>
  <c r="AV307" i="1"/>
  <c r="AW307" i="1" s="1"/>
  <c r="AX307" i="1" s="1"/>
  <c r="AB307" i="1"/>
  <c r="AV306" i="1"/>
  <c r="AW306" i="1" s="1"/>
  <c r="AX306" i="1" s="1"/>
  <c r="AB306" i="1"/>
  <c r="AV305" i="1"/>
  <c r="AW305" i="1" s="1"/>
  <c r="AX305" i="1" s="1"/>
  <c r="AB305" i="1"/>
  <c r="AV304" i="1"/>
  <c r="AW304" i="1" s="1"/>
  <c r="AX304" i="1" s="1"/>
  <c r="AB304" i="1"/>
  <c r="AV303" i="1"/>
  <c r="AW303" i="1" s="1"/>
  <c r="AX303" i="1" s="1"/>
  <c r="AB303" i="1"/>
  <c r="AV302" i="1"/>
  <c r="AB302" i="1" s="1"/>
  <c r="AG302" i="1" a="1"/>
  <c r="AG302" i="1" s="1"/>
  <c r="AV300" i="1"/>
  <c r="AW300" i="1" s="1"/>
  <c r="AX300" i="1" s="1"/>
  <c r="AB300" i="1"/>
  <c r="AV299" i="1"/>
  <c r="AW299" i="1" s="1"/>
  <c r="AX299" i="1" s="1"/>
  <c r="AB299" i="1"/>
  <c r="AV298" i="1"/>
  <c r="AW298" i="1" s="1"/>
  <c r="AX298" i="1" s="1"/>
  <c r="AB298" i="1"/>
  <c r="AV297" i="1"/>
  <c r="AW297" i="1" s="1"/>
  <c r="AX297" i="1" s="1"/>
  <c r="AB297" i="1"/>
  <c r="AV296" i="1"/>
  <c r="AW296" i="1" s="1"/>
  <c r="AX296" i="1" s="1"/>
  <c r="AB296" i="1"/>
  <c r="AV295" i="1"/>
  <c r="AW295" i="1" s="1"/>
  <c r="AX295" i="1" s="1"/>
  <c r="AB295" i="1"/>
  <c r="AV294" i="1"/>
  <c r="AW294" i="1" s="1"/>
  <c r="AX294" i="1" s="1"/>
  <c r="AB294" i="1"/>
  <c r="AV293" i="1"/>
  <c r="AW293" i="1" s="1"/>
  <c r="AX293" i="1" s="1"/>
  <c r="AB293" i="1"/>
  <c r="AV292" i="1"/>
  <c r="AW292" i="1" s="1"/>
  <c r="AX292" i="1" s="1"/>
  <c r="AB292" i="1"/>
  <c r="AV291" i="1"/>
  <c r="AW291" i="1" s="1"/>
  <c r="AX291" i="1" s="1"/>
  <c r="AB291" i="1"/>
  <c r="AV290" i="1"/>
  <c r="AB290" i="1" s="1"/>
  <c r="AG290" i="1" a="1"/>
  <c r="AG290" i="1" s="1"/>
  <c r="AV288" i="1"/>
  <c r="AW288" i="1" s="1"/>
  <c r="AX288" i="1" s="1"/>
  <c r="AB288" i="1"/>
  <c r="AV287" i="1"/>
  <c r="AW287" i="1" s="1"/>
  <c r="AX287" i="1" s="1"/>
  <c r="AB287" i="1"/>
  <c r="AV286" i="1"/>
  <c r="AW286" i="1" s="1"/>
  <c r="AX286" i="1" s="1"/>
  <c r="AB286" i="1"/>
  <c r="AV285" i="1"/>
  <c r="AW285" i="1" s="1"/>
  <c r="AX285" i="1" s="1"/>
  <c r="AB285" i="1"/>
  <c r="AV284" i="1"/>
  <c r="AW284" i="1" s="1"/>
  <c r="AX284" i="1" s="1"/>
  <c r="AB284" i="1"/>
  <c r="AV283" i="1"/>
  <c r="AW283" i="1" s="1"/>
  <c r="AX283" i="1" s="1"/>
  <c r="AB283" i="1"/>
  <c r="AV282" i="1"/>
  <c r="AW282" i="1" s="1"/>
  <c r="AX282" i="1" s="1"/>
  <c r="AB282" i="1"/>
  <c r="AV281" i="1"/>
  <c r="AW281" i="1" s="1"/>
  <c r="AX281" i="1" s="1"/>
  <c r="AB281" i="1"/>
  <c r="AV280" i="1"/>
  <c r="AW280" i="1" s="1"/>
  <c r="AX280" i="1" s="1"/>
  <c r="AB280" i="1"/>
  <c r="AV279" i="1"/>
  <c r="AW279" i="1" s="1"/>
  <c r="AX279" i="1" s="1"/>
  <c r="AB279" i="1"/>
  <c r="AV278" i="1"/>
  <c r="AB278" i="1" s="1"/>
  <c r="AG278" i="1" a="1"/>
  <c r="AG278" i="1" s="1"/>
  <c r="AD278" i="1"/>
  <c r="AD279" i="1" s="1"/>
  <c r="AD280" i="1" s="1"/>
  <c r="AD281" i="1" s="1"/>
  <c r="AD282" i="1" s="1"/>
  <c r="AD283" i="1" s="1"/>
  <c r="AD284" i="1" s="1"/>
  <c r="AD285" i="1" s="1"/>
  <c r="AD286" i="1" s="1"/>
  <c r="AD287" i="1" s="1"/>
  <c r="AD288" i="1" s="1"/>
  <c r="AV276" i="1"/>
  <c r="AW276" i="1" s="1"/>
  <c r="AX276" i="1" s="1"/>
  <c r="AB276" i="1"/>
  <c r="AV275" i="1"/>
  <c r="AW275" i="1" s="1"/>
  <c r="AX275" i="1" s="1"/>
  <c r="AB275" i="1"/>
  <c r="AV274" i="1"/>
  <c r="AW274" i="1" s="1"/>
  <c r="AX274" i="1" s="1"/>
  <c r="AB274" i="1"/>
  <c r="AV273" i="1"/>
  <c r="AW273" i="1" s="1"/>
  <c r="AX273" i="1" s="1"/>
  <c r="AB273" i="1"/>
  <c r="AV272" i="1"/>
  <c r="AW272" i="1" s="1"/>
  <c r="AX272" i="1" s="1"/>
  <c r="AB272" i="1"/>
  <c r="AV271" i="1"/>
  <c r="AW271" i="1" s="1"/>
  <c r="AX271" i="1" s="1"/>
  <c r="AB271" i="1"/>
  <c r="AV270" i="1"/>
  <c r="AW270" i="1" s="1"/>
  <c r="AX270" i="1" s="1"/>
  <c r="AB270" i="1"/>
  <c r="AV269" i="1"/>
  <c r="AW269" i="1" s="1"/>
  <c r="AX269" i="1" s="1"/>
  <c r="AB269" i="1"/>
  <c r="AV268" i="1"/>
  <c r="AW268" i="1" s="1"/>
  <c r="AX268" i="1" s="1"/>
  <c r="AB268" i="1"/>
  <c r="AV267" i="1"/>
  <c r="AW267" i="1" s="1"/>
  <c r="AX267" i="1" s="1"/>
  <c r="AB267" i="1"/>
  <c r="AV266" i="1"/>
  <c r="AB266" i="1" s="1"/>
  <c r="AG266" i="1"/>
  <c r="AL266" i="1" s="1"/>
  <c r="AG266" i="1" a="1"/>
  <c r="AD266" i="1"/>
  <c r="AD267" i="1" s="1"/>
  <c r="AD268" i="1" s="1"/>
  <c r="AD269" i="1" s="1"/>
  <c r="AD270" i="1" s="1"/>
  <c r="AD271" i="1" s="1"/>
  <c r="AD272" i="1" s="1"/>
  <c r="AD273" i="1" s="1"/>
  <c r="AD274" i="1" s="1"/>
  <c r="AD275" i="1" s="1"/>
  <c r="AD276" i="1" s="1"/>
  <c r="AV264" i="1"/>
  <c r="AW264" i="1" s="1"/>
  <c r="AX264" i="1" s="1"/>
  <c r="AB264" i="1"/>
  <c r="AV263" i="1"/>
  <c r="AW263" i="1" s="1"/>
  <c r="AX263" i="1" s="1"/>
  <c r="AB263" i="1"/>
  <c r="AV262" i="1"/>
  <c r="AW262" i="1" s="1"/>
  <c r="AX262" i="1" s="1"/>
  <c r="AB262" i="1"/>
  <c r="AV261" i="1"/>
  <c r="AW261" i="1" s="1"/>
  <c r="AX261" i="1" s="1"/>
  <c r="AB261" i="1"/>
  <c r="AV260" i="1"/>
  <c r="AW260" i="1" s="1"/>
  <c r="AX260" i="1" s="1"/>
  <c r="AB260" i="1"/>
  <c r="AV259" i="1"/>
  <c r="AW259" i="1" s="1"/>
  <c r="AX259" i="1" s="1"/>
  <c r="AB259" i="1"/>
  <c r="AV258" i="1"/>
  <c r="AW258" i="1" s="1"/>
  <c r="AX258" i="1" s="1"/>
  <c r="AB258" i="1"/>
  <c r="AV257" i="1"/>
  <c r="AW257" i="1" s="1"/>
  <c r="AX257" i="1" s="1"/>
  <c r="AB257" i="1"/>
  <c r="AV256" i="1"/>
  <c r="AW256" i="1" s="1"/>
  <c r="AX256" i="1" s="1"/>
  <c r="AB256" i="1"/>
  <c r="AV255" i="1"/>
  <c r="AW255" i="1" s="1"/>
  <c r="AX255" i="1" s="1"/>
  <c r="AB255" i="1"/>
  <c r="AV254" i="1"/>
  <c r="AB254" i="1" s="1"/>
  <c r="AG254" i="1" a="1"/>
  <c r="AG254" i="1" s="1"/>
  <c r="AD254" i="1"/>
  <c r="AD255" i="1" s="1"/>
  <c r="AD256" i="1" s="1"/>
  <c r="AD257" i="1" s="1"/>
  <c r="AD258" i="1" s="1"/>
  <c r="AD259" i="1" s="1"/>
  <c r="AD260" i="1" s="1"/>
  <c r="AD261" i="1" s="1"/>
  <c r="AD262" i="1" s="1"/>
  <c r="AD263" i="1" s="1"/>
  <c r="AD264" i="1" s="1"/>
  <c r="AV252" i="1"/>
  <c r="AW252" i="1" s="1"/>
  <c r="AX252" i="1" s="1"/>
  <c r="AB252" i="1"/>
  <c r="AV251" i="1"/>
  <c r="AW251" i="1" s="1"/>
  <c r="AX251" i="1" s="1"/>
  <c r="AB251" i="1"/>
  <c r="AV250" i="1"/>
  <c r="AW250" i="1" s="1"/>
  <c r="AX250" i="1" s="1"/>
  <c r="AB250" i="1"/>
  <c r="AV249" i="1"/>
  <c r="AW249" i="1" s="1"/>
  <c r="AX249" i="1" s="1"/>
  <c r="AB249" i="1"/>
  <c r="AV248" i="1"/>
  <c r="AW248" i="1" s="1"/>
  <c r="AX248" i="1" s="1"/>
  <c r="AB248" i="1"/>
  <c r="AV247" i="1"/>
  <c r="AW247" i="1" s="1"/>
  <c r="AX247" i="1" s="1"/>
  <c r="AB247" i="1"/>
  <c r="AV246" i="1"/>
  <c r="AW246" i="1" s="1"/>
  <c r="AX246" i="1" s="1"/>
  <c r="AB246" i="1"/>
  <c r="AV245" i="1"/>
  <c r="AW245" i="1" s="1"/>
  <c r="AX245" i="1" s="1"/>
  <c r="AB245" i="1"/>
  <c r="AV244" i="1"/>
  <c r="AW244" i="1" s="1"/>
  <c r="AX244" i="1" s="1"/>
  <c r="AB244" i="1"/>
  <c r="AV243" i="1"/>
  <c r="AW243" i="1" s="1"/>
  <c r="AX243" i="1" s="1"/>
  <c r="AB243" i="1"/>
  <c r="AV242" i="1"/>
  <c r="AB242" i="1" s="1"/>
  <c r="AG242" i="1" a="1"/>
  <c r="AG242" i="1" s="1"/>
  <c r="AV240" i="1"/>
  <c r="AW240" i="1" s="1"/>
  <c r="AX240" i="1" s="1"/>
  <c r="AB240" i="1"/>
  <c r="AV239" i="1"/>
  <c r="AW239" i="1" s="1"/>
  <c r="AX239" i="1" s="1"/>
  <c r="AB239" i="1"/>
  <c r="AV238" i="1"/>
  <c r="AW238" i="1" s="1"/>
  <c r="AX238" i="1" s="1"/>
  <c r="AB238" i="1"/>
  <c r="AV237" i="1"/>
  <c r="AW237" i="1" s="1"/>
  <c r="AX237" i="1" s="1"/>
  <c r="AB237" i="1"/>
  <c r="AV236" i="1"/>
  <c r="AW236" i="1" s="1"/>
  <c r="AX236" i="1" s="1"/>
  <c r="AB236" i="1"/>
  <c r="AV235" i="1"/>
  <c r="AW235" i="1" s="1"/>
  <c r="AX235" i="1" s="1"/>
  <c r="AB235" i="1"/>
  <c r="AV234" i="1"/>
  <c r="AW234" i="1" s="1"/>
  <c r="AX234" i="1" s="1"/>
  <c r="AB234" i="1"/>
  <c r="AV233" i="1"/>
  <c r="AW233" i="1" s="1"/>
  <c r="AX233" i="1" s="1"/>
  <c r="AB233" i="1"/>
  <c r="AV232" i="1"/>
  <c r="AW232" i="1" s="1"/>
  <c r="AX232" i="1" s="1"/>
  <c r="AB232" i="1"/>
  <c r="AV231" i="1"/>
  <c r="AW231" i="1" s="1"/>
  <c r="AX231" i="1" s="1"/>
  <c r="AB231" i="1"/>
  <c r="AV230" i="1"/>
  <c r="AB230" i="1" s="1"/>
  <c r="AG230" i="1" a="1"/>
  <c r="AG230" i="1" s="1"/>
  <c r="AD230" i="1"/>
  <c r="AD231" i="1" s="1"/>
  <c r="AD232" i="1" s="1"/>
  <c r="AD233" i="1" s="1"/>
  <c r="AD234" i="1" s="1"/>
  <c r="AD235" i="1" s="1"/>
  <c r="AD236" i="1" s="1"/>
  <c r="AD237" i="1" s="1"/>
  <c r="AD238" i="1" s="1"/>
  <c r="AD239" i="1" s="1"/>
  <c r="AD240" i="1" s="1"/>
  <c r="AV228" i="1"/>
  <c r="AW228" i="1" s="1"/>
  <c r="AX228" i="1" s="1"/>
  <c r="AB228" i="1"/>
  <c r="AV227" i="1"/>
  <c r="AW227" i="1" s="1"/>
  <c r="AX227" i="1" s="1"/>
  <c r="AB227" i="1"/>
  <c r="AV226" i="1"/>
  <c r="AW226" i="1" s="1"/>
  <c r="AX226" i="1" s="1"/>
  <c r="AB226" i="1"/>
  <c r="AV225" i="1"/>
  <c r="AW225" i="1" s="1"/>
  <c r="AX225" i="1" s="1"/>
  <c r="AB225" i="1"/>
  <c r="AV224" i="1"/>
  <c r="AW224" i="1" s="1"/>
  <c r="AX224" i="1" s="1"/>
  <c r="AB224" i="1"/>
  <c r="AV223" i="1"/>
  <c r="AW223" i="1" s="1"/>
  <c r="AX223" i="1" s="1"/>
  <c r="AB223" i="1"/>
  <c r="AV222" i="1"/>
  <c r="AW222" i="1" s="1"/>
  <c r="AX222" i="1" s="1"/>
  <c r="AB222" i="1"/>
  <c r="AV221" i="1"/>
  <c r="AW221" i="1" s="1"/>
  <c r="AX221" i="1" s="1"/>
  <c r="AB221" i="1"/>
  <c r="AV220" i="1"/>
  <c r="AW220" i="1" s="1"/>
  <c r="AX220" i="1" s="1"/>
  <c r="AB220" i="1"/>
  <c r="AV219" i="1"/>
  <c r="AW219" i="1" s="1"/>
  <c r="AX219" i="1" s="1"/>
  <c r="AB219" i="1"/>
  <c r="AV218" i="1"/>
  <c r="AB218" i="1" s="1"/>
  <c r="AG218" i="1" a="1"/>
  <c r="AG218" i="1" s="1"/>
  <c r="AD218" i="1"/>
  <c r="AD219" i="1" s="1"/>
  <c r="AD220" i="1" s="1"/>
  <c r="AD221" i="1" s="1"/>
  <c r="AD222" i="1" s="1"/>
  <c r="AD223" i="1" s="1"/>
  <c r="AD224" i="1" s="1"/>
  <c r="AD225" i="1" s="1"/>
  <c r="AD226" i="1" s="1"/>
  <c r="AD227" i="1" s="1"/>
  <c r="AD228" i="1" s="1"/>
  <c r="AV216" i="1"/>
  <c r="AW216" i="1" s="1"/>
  <c r="AX216" i="1" s="1"/>
  <c r="AV215" i="1"/>
  <c r="AW215" i="1" s="1"/>
  <c r="AX215" i="1" s="1"/>
  <c r="AV214" i="1"/>
  <c r="AW214" i="1" s="1"/>
  <c r="AX214" i="1" s="1"/>
  <c r="AV213" i="1"/>
  <c r="AW213" i="1" s="1"/>
  <c r="AX213" i="1" s="1"/>
  <c r="AV212" i="1"/>
  <c r="AW212" i="1" s="1"/>
  <c r="AX212" i="1" s="1"/>
  <c r="AV211" i="1"/>
  <c r="AW211" i="1" s="1"/>
  <c r="AX211" i="1" s="1"/>
  <c r="AV210" i="1"/>
  <c r="AW210" i="1" s="1"/>
  <c r="AX210" i="1" s="1"/>
  <c r="AV209" i="1"/>
  <c r="AW209" i="1" s="1"/>
  <c r="AX209" i="1" s="1"/>
  <c r="AV208" i="1"/>
  <c r="AW208" i="1" s="1"/>
  <c r="AX208" i="1" s="1"/>
  <c r="AV207" i="1"/>
  <c r="AW207" i="1" s="1"/>
  <c r="AX207" i="1" s="1"/>
  <c r="AV206" i="1"/>
  <c r="AB206" i="1" s="1"/>
  <c r="AG206" i="1" a="1"/>
  <c r="AG206" i="1" s="1"/>
  <c r="AV204" i="1"/>
  <c r="AW204" i="1" s="1"/>
  <c r="AX204" i="1" s="1"/>
  <c r="AB204" i="1"/>
  <c r="AV203" i="1"/>
  <c r="AW203" i="1" s="1"/>
  <c r="AX203" i="1" s="1"/>
  <c r="AB203" i="1"/>
  <c r="AV202" i="1"/>
  <c r="AW202" i="1" s="1"/>
  <c r="AX202" i="1" s="1"/>
  <c r="AB202" i="1"/>
  <c r="AV201" i="1"/>
  <c r="AW201" i="1" s="1"/>
  <c r="AX201" i="1" s="1"/>
  <c r="AB201" i="1"/>
  <c r="AV200" i="1"/>
  <c r="AW200" i="1" s="1"/>
  <c r="AX200" i="1" s="1"/>
  <c r="AB200" i="1"/>
  <c r="AV199" i="1"/>
  <c r="AW199" i="1" s="1"/>
  <c r="AX199" i="1" s="1"/>
  <c r="AB199" i="1"/>
  <c r="AV198" i="1"/>
  <c r="AW198" i="1" s="1"/>
  <c r="AX198" i="1" s="1"/>
  <c r="AB198" i="1"/>
  <c r="AV197" i="1"/>
  <c r="AW197" i="1" s="1"/>
  <c r="AX197" i="1" s="1"/>
  <c r="AB197" i="1"/>
  <c r="AV196" i="1"/>
  <c r="AW196" i="1" s="1"/>
  <c r="AX196" i="1" s="1"/>
  <c r="AB196" i="1"/>
  <c r="AV195" i="1"/>
  <c r="AW195" i="1" s="1"/>
  <c r="AX195" i="1" s="1"/>
  <c r="AB195" i="1"/>
  <c r="AV194" i="1"/>
  <c r="AB194" i="1" s="1"/>
  <c r="AG194" i="1" a="1"/>
  <c r="AG194" i="1" s="1"/>
  <c r="AV192" i="1"/>
  <c r="AW192" i="1" s="1"/>
  <c r="AX192" i="1" s="1"/>
  <c r="AB192" i="1"/>
  <c r="AV191" i="1"/>
  <c r="AW191" i="1" s="1"/>
  <c r="AX191" i="1" s="1"/>
  <c r="AB191" i="1"/>
  <c r="AV190" i="1"/>
  <c r="AW190" i="1" s="1"/>
  <c r="AX190" i="1" s="1"/>
  <c r="AB190" i="1"/>
  <c r="AV189" i="1"/>
  <c r="AW189" i="1" s="1"/>
  <c r="AX189" i="1" s="1"/>
  <c r="AB189" i="1"/>
  <c r="AV188" i="1"/>
  <c r="AW188" i="1" s="1"/>
  <c r="AX188" i="1" s="1"/>
  <c r="AB188" i="1"/>
  <c r="AV187" i="1"/>
  <c r="AW187" i="1" s="1"/>
  <c r="AX187" i="1" s="1"/>
  <c r="AB187" i="1"/>
  <c r="AV186" i="1"/>
  <c r="AW186" i="1" s="1"/>
  <c r="AX186" i="1" s="1"/>
  <c r="AB186" i="1"/>
  <c r="AV185" i="1"/>
  <c r="AW185" i="1" s="1"/>
  <c r="AX185" i="1" s="1"/>
  <c r="AB185" i="1"/>
  <c r="AV184" i="1"/>
  <c r="AW184" i="1" s="1"/>
  <c r="AX184" i="1" s="1"/>
  <c r="AB184" i="1"/>
  <c r="AV183" i="1"/>
  <c r="AW183" i="1" s="1"/>
  <c r="AX183" i="1" s="1"/>
  <c r="AG183" i="1"/>
  <c r="AG184" i="1" s="1"/>
  <c r="AG185" i="1" s="1"/>
  <c r="AG186" i="1" s="1"/>
  <c r="AG187" i="1" s="1"/>
  <c r="AG188" i="1" s="1"/>
  <c r="AG189" i="1" s="1"/>
  <c r="AG190" i="1" s="1"/>
  <c r="AG191" i="1" s="1"/>
  <c r="AG192" i="1" s="1"/>
  <c r="AB183" i="1"/>
  <c r="AV182" i="1"/>
  <c r="AB182" i="1" s="1"/>
  <c r="AG182" i="1"/>
  <c r="AG182" i="1" a="1"/>
  <c r="AD182" i="1"/>
  <c r="AD183" i="1" s="1"/>
  <c r="AD184" i="1" s="1"/>
  <c r="AD185" i="1" s="1"/>
  <c r="AD186" i="1" s="1"/>
  <c r="AD187" i="1" s="1"/>
  <c r="AD188" i="1" s="1"/>
  <c r="AD189" i="1" s="1"/>
  <c r="AD190" i="1" s="1"/>
  <c r="AD191" i="1" s="1"/>
  <c r="AD192" i="1" s="1"/>
  <c r="AV180" i="1"/>
  <c r="AW180" i="1" s="1"/>
  <c r="AX180" i="1" s="1"/>
  <c r="AB180" i="1"/>
  <c r="AV179" i="1"/>
  <c r="AW179" i="1" s="1"/>
  <c r="AX179" i="1" s="1"/>
  <c r="AB179" i="1"/>
  <c r="AV178" i="1"/>
  <c r="AW178" i="1" s="1"/>
  <c r="AX178" i="1" s="1"/>
  <c r="AB178" i="1"/>
  <c r="AV177" i="1"/>
  <c r="AW177" i="1" s="1"/>
  <c r="AX177" i="1" s="1"/>
  <c r="AB177" i="1"/>
  <c r="AV176" i="1"/>
  <c r="AW176" i="1" s="1"/>
  <c r="AX176" i="1" s="1"/>
  <c r="AB176" i="1"/>
  <c r="AV175" i="1"/>
  <c r="AW175" i="1" s="1"/>
  <c r="AX175" i="1" s="1"/>
  <c r="AB175" i="1"/>
  <c r="AV174" i="1"/>
  <c r="AW174" i="1" s="1"/>
  <c r="AX174" i="1" s="1"/>
  <c r="AB174" i="1"/>
  <c r="AV173" i="1"/>
  <c r="AW173" i="1" s="1"/>
  <c r="AX173" i="1" s="1"/>
  <c r="AB173" i="1"/>
  <c r="AV172" i="1"/>
  <c r="AW172" i="1" s="1"/>
  <c r="AX172" i="1" s="1"/>
  <c r="AB172" i="1"/>
  <c r="AV171" i="1"/>
  <c r="AW171" i="1" s="1"/>
  <c r="AX171" i="1" s="1"/>
  <c r="AB171" i="1"/>
  <c r="AV170" i="1"/>
  <c r="AB170" i="1" s="1"/>
  <c r="AG170" i="1" a="1"/>
  <c r="AG170" i="1" s="1"/>
  <c r="AD170" i="1"/>
  <c r="AD171" i="1" s="1"/>
  <c r="AD172" i="1" s="1"/>
  <c r="AD173" i="1" s="1"/>
  <c r="AD174" i="1" s="1"/>
  <c r="AD175" i="1" s="1"/>
  <c r="AD176" i="1" s="1"/>
  <c r="AD177" i="1" s="1"/>
  <c r="AD178" i="1" s="1"/>
  <c r="AD179" i="1" s="1"/>
  <c r="AD180" i="1" s="1"/>
  <c r="AV168" i="1"/>
  <c r="AW168" i="1" s="1"/>
  <c r="AX168" i="1" s="1"/>
  <c r="AB168" i="1"/>
  <c r="AV167" i="1"/>
  <c r="AW167" i="1" s="1"/>
  <c r="AX167" i="1" s="1"/>
  <c r="AB167" i="1"/>
  <c r="AV166" i="1"/>
  <c r="AW166" i="1" s="1"/>
  <c r="AX166" i="1" s="1"/>
  <c r="AB166" i="1"/>
  <c r="AV165" i="1"/>
  <c r="AW165" i="1" s="1"/>
  <c r="AX165" i="1" s="1"/>
  <c r="AB165" i="1"/>
  <c r="AV164" i="1"/>
  <c r="AW164" i="1" s="1"/>
  <c r="AX164" i="1" s="1"/>
  <c r="AB164" i="1"/>
  <c r="AV163" i="1"/>
  <c r="AW163" i="1" s="1"/>
  <c r="AX163" i="1" s="1"/>
  <c r="AB163" i="1"/>
  <c r="AV162" i="1"/>
  <c r="AW162" i="1" s="1"/>
  <c r="AX162" i="1" s="1"/>
  <c r="AB162" i="1"/>
  <c r="AV161" i="1"/>
  <c r="AW161" i="1" s="1"/>
  <c r="AX161" i="1" s="1"/>
  <c r="AB161" i="1"/>
  <c r="AV160" i="1"/>
  <c r="AW160" i="1" s="1"/>
  <c r="AX160" i="1" s="1"/>
  <c r="AB160" i="1"/>
  <c r="AV159" i="1"/>
  <c r="AW159" i="1" s="1"/>
  <c r="AX159" i="1" s="1"/>
  <c r="AB159" i="1"/>
  <c r="AV158" i="1"/>
  <c r="AB158" i="1" s="1"/>
  <c r="AG158" i="1" a="1"/>
  <c r="AG158" i="1" s="1"/>
  <c r="AD158" i="1"/>
  <c r="AD159" i="1" s="1"/>
  <c r="AD160" i="1" s="1"/>
  <c r="AD161" i="1" s="1"/>
  <c r="AD162" i="1" s="1"/>
  <c r="AD163" i="1" s="1"/>
  <c r="AD164" i="1" s="1"/>
  <c r="AD165" i="1" s="1"/>
  <c r="AD166" i="1" s="1"/>
  <c r="AD167" i="1" s="1"/>
  <c r="AD168" i="1" s="1"/>
  <c r="AV156" i="1"/>
  <c r="AW156" i="1" s="1"/>
  <c r="AX156" i="1" s="1"/>
  <c r="AB156" i="1"/>
  <c r="AV155" i="1"/>
  <c r="AW155" i="1" s="1"/>
  <c r="AX155" i="1" s="1"/>
  <c r="AB155" i="1"/>
  <c r="AV154" i="1"/>
  <c r="AW154" i="1" s="1"/>
  <c r="AX154" i="1" s="1"/>
  <c r="AB154" i="1"/>
  <c r="AV153" i="1"/>
  <c r="AW153" i="1" s="1"/>
  <c r="AX153" i="1" s="1"/>
  <c r="AB153" i="1"/>
  <c r="AV152" i="1"/>
  <c r="AW152" i="1" s="1"/>
  <c r="AX152" i="1" s="1"/>
  <c r="AB152" i="1"/>
  <c r="AV151" i="1"/>
  <c r="AW151" i="1" s="1"/>
  <c r="AX151" i="1" s="1"/>
  <c r="AB151" i="1"/>
  <c r="AV150" i="1"/>
  <c r="AW150" i="1" s="1"/>
  <c r="AX150" i="1" s="1"/>
  <c r="AB150" i="1"/>
  <c r="AV149" i="1"/>
  <c r="AW149" i="1" s="1"/>
  <c r="AX149" i="1" s="1"/>
  <c r="AB149" i="1"/>
  <c r="AV148" i="1"/>
  <c r="AW148" i="1" s="1"/>
  <c r="AX148" i="1" s="1"/>
  <c r="AB148" i="1"/>
  <c r="AV147" i="1"/>
  <c r="AW147" i="1" s="1"/>
  <c r="AX147" i="1" s="1"/>
  <c r="AB147" i="1"/>
  <c r="AV146" i="1"/>
  <c r="AB146" i="1" s="1"/>
  <c r="AG146" i="1" a="1"/>
  <c r="AG146" i="1" s="1"/>
  <c r="AD146" i="1"/>
  <c r="AD147" i="1" s="1"/>
  <c r="AD148" i="1" s="1"/>
  <c r="AD149" i="1" s="1"/>
  <c r="AD150" i="1" s="1"/>
  <c r="AD151" i="1" s="1"/>
  <c r="AD152" i="1" s="1"/>
  <c r="AD153" i="1" s="1"/>
  <c r="AD154" i="1" s="1"/>
  <c r="AD155" i="1" s="1"/>
  <c r="AD156" i="1" s="1"/>
  <c r="AV144" i="1"/>
  <c r="AW144" i="1" s="1"/>
  <c r="AX144" i="1" s="1"/>
  <c r="AB144" i="1"/>
  <c r="AV143" i="1"/>
  <c r="AW143" i="1" s="1"/>
  <c r="AX143" i="1" s="1"/>
  <c r="AB143" i="1"/>
  <c r="AV142" i="1"/>
  <c r="AW142" i="1" s="1"/>
  <c r="AX142" i="1" s="1"/>
  <c r="AB142" i="1"/>
  <c r="AV141" i="1"/>
  <c r="AW141" i="1" s="1"/>
  <c r="AX141" i="1" s="1"/>
  <c r="AB141" i="1"/>
  <c r="AV140" i="1"/>
  <c r="AW140" i="1" s="1"/>
  <c r="AX140" i="1" s="1"/>
  <c r="AB140" i="1"/>
  <c r="AV139" i="1"/>
  <c r="AW139" i="1" s="1"/>
  <c r="AX139" i="1" s="1"/>
  <c r="AB139" i="1"/>
  <c r="AV138" i="1"/>
  <c r="AW138" i="1" s="1"/>
  <c r="AX138" i="1" s="1"/>
  <c r="AB138" i="1"/>
  <c r="AV137" i="1"/>
  <c r="AW137" i="1" s="1"/>
  <c r="AX137" i="1" s="1"/>
  <c r="AB137" i="1"/>
  <c r="AV136" i="1"/>
  <c r="AW136" i="1" s="1"/>
  <c r="AX136" i="1" s="1"/>
  <c r="AB136" i="1"/>
  <c r="AV135" i="1"/>
  <c r="AW135" i="1" s="1"/>
  <c r="AX135" i="1" s="1"/>
  <c r="AB135" i="1"/>
  <c r="AV134" i="1"/>
  <c r="AB134" i="1" s="1"/>
  <c r="AG134" i="1"/>
  <c r="AG134" i="1" a="1"/>
  <c r="AV132" i="1"/>
  <c r="AW132" i="1" s="1"/>
  <c r="AX132" i="1" s="1"/>
  <c r="AB132" i="1"/>
  <c r="AV131" i="1"/>
  <c r="AW131" i="1" s="1"/>
  <c r="AX131" i="1" s="1"/>
  <c r="AB131" i="1"/>
  <c r="AV130" i="1"/>
  <c r="AW130" i="1" s="1"/>
  <c r="AX130" i="1" s="1"/>
  <c r="AB130" i="1"/>
  <c r="AV129" i="1"/>
  <c r="AW129" i="1" s="1"/>
  <c r="AX129" i="1" s="1"/>
  <c r="AB129" i="1"/>
  <c r="AV128" i="1"/>
  <c r="AW128" i="1" s="1"/>
  <c r="AX128" i="1" s="1"/>
  <c r="AB128" i="1"/>
  <c r="AV127" i="1"/>
  <c r="AW127" i="1" s="1"/>
  <c r="AX127" i="1" s="1"/>
  <c r="AB127" i="1"/>
  <c r="AV126" i="1"/>
  <c r="AW126" i="1" s="1"/>
  <c r="AX126" i="1" s="1"/>
  <c r="AB126" i="1"/>
  <c r="AV125" i="1"/>
  <c r="AW125" i="1" s="1"/>
  <c r="AX125" i="1" s="1"/>
  <c r="AB125" i="1"/>
  <c r="AV124" i="1"/>
  <c r="AW124" i="1" s="1"/>
  <c r="AX124" i="1" s="1"/>
  <c r="AB124" i="1"/>
  <c r="AV123" i="1"/>
  <c r="AW123" i="1" s="1"/>
  <c r="AX123" i="1" s="1"/>
  <c r="AB123" i="1"/>
  <c r="AV122" i="1"/>
  <c r="AB122" i="1" s="1"/>
  <c r="AG122" i="1" a="1"/>
  <c r="AG122" i="1" s="1"/>
  <c r="AD122" i="1"/>
  <c r="AD123" i="1" s="1"/>
  <c r="AD124" i="1" s="1"/>
  <c r="AD125" i="1" s="1"/>
  <c r="AD126" i="1" s="1"/>
  <c r="AD127" i="1" s="1"/>
  <c r="AD128" i="1" s="1"/>
  <c r="AD129" i="1" s="1"/>
  <c r="AD130" i="1" s="1"/>
  <c r="AD131" i="1" s="1"/>
  <c r="AD132" i="1" s="1"/>
  <c r="AV120" i="1"/>
  <c r="AW120" i="1" s="1"/>
  <c r="AX120" i="1" s="1"/>
  <c r="AB120" i="1"/>
  <c r="AV119" i="1"/>
  <c r="AW119" i="1" s="1"/>
  <c r="AX119" i="1" s="1"/>
  <c r="AB119" i="1"/>
  <c r="AV118" i="1"/>
  <c r="AW118" i="1" s="1"/>
  <c r="AX118" i="1" s="1"/>
  <c r="AB118" i="1"/>
  <c r="AV117" i="1"/>
  <c r="AW117" i="1" s="1"/>
  <c r="AX117" i="1" s="1"/>
  <c r="AB117" i="1"/>
  <c r="AV116" i="1"/>
  <c r="AW116" i="1" s="1"/>
  <c r="AX116" i="1" s="1"/>
  <c r="AB116" i="1"/>
  <c r="AV115" i="1"/>
  <c r="AW115" i="1" s="1"/>
  <c r="AX115" i="1" s="1"/>
  <c r="AB115" i="1"/>
  <c r="AV114" i="1"/>
  <c r="AW114" i="1" s="1"/>
  <c r="AX114" i="1" s="1"/>
  <c r="AB114" i="1"/>
  <c r="AV113" i="1"/>
  <c r="AW113" i="1" s="1"/>
  <c r="AX113" i="1" s="1"/>
  <c r="AB113" i="1"/>
  <c r="AV112" i="1"/>
  <c r="AW112" i="1" s="1"/>
  <c r="AX112" i="1" s="1"/>
  <c r="AB112" i="1"/>
  <c r="AV111" i="1"/>
  <c r="AW111" i="1" s="1"/>
  <c r="AX111" i="1" s="1"/>
  <c r="AB111" i="1"/>
  <c r="AV110" i="1"/>
  <c r="AB110" i="1" s="1"/>
  <c r="AG110" i="1" a="1"/>
  <c r="AG110" i="1" s="1"/>
  <c r="AV108" i="1"/>
  <c r="AW108" i="1" s="1"/>
  <c r="AX108" i="1" s="1"/>
  <c r="AB108" i="1"/>
  <c r="AV107" i="1"/>
  <c r="AW107" i="1" s="1"/>
  <c r="AX107" i="1" s="1"/>
  <c r="AB107" i="1"/>
  <c r="AV106" i="1"/>
  <c r="AW106" i="1" s="1"/>
  <c r="AX106" i="1" s="1"/>
  <c r="AB106" i="1"/>
  <c r="AV105" i="1"/>
  <c r="AW105" i="1" s="1"/>
  <c r="AX105" i="1" s="1"/>
  <c r="AB105" i="1"/>
  <c r="AV104" i="1"/>
  <c r="AW104" i="1" s="1"/>
  <c r="AX104" i="1" s="1"/>
  <c r="AB104" i="1"/>
  <c r="AV103" i="1"/>
  <c r="AW103" i="1" s="1"/>
  <c r="AX103" i="1" s="1"/>
  <c r="AB103" i="1"/>
  <c r="AV102" i="1"/>
  <c r="AW102" i="1" s="1"/>
  <c r="AX102" i="1" s="1"/>
  <c r="AB102" i="1"/>
  <c r="AV101" i="1"/>
  <c r="AW101" i="1" s="1"/>
  <c r="AX101" i="1" s="1"/>
  <c r="AB101" i="1"/>
  <c r="AV100" i="1"/>
  <c r="AW100" i="1" s="1"/>
  <c r="AX100" i="1" s="1"/>
  <c r="AB100" i="1"/>
  <c r="AV99" i="1"/>
  <c r="AW99" i="1" s="1"/>
  <c r="AX99" i="1" s="1"/>
  <c r="AB99" i="1"/>
  <c r="AV98" i="1"/>
  <c r="AB98" i="1" s="1"/>
  <c r="AG98" i="1" a="1"/>
  <c r="AG98" i="1" s="1"/>
  <c r="AD98" i="1"/>
  <c r="AD99" i="1" s="1"/>
  <c r="AD100" i="1" s="1"/>
  <c r="AD101" i="1" s="1"/>
  <c r="AD102" i="1" s="1"/>
  <c r="AD103" i="1" s="1"/>
  <c r="AD104" i="1" s="1"/>
  <c r="AD105" i="1" s="1"/>
  <c r="AD106" i="1" s="1"/>
  <c r="AD107" i="1" s="1"/>
  <c r="AD108" i="1" s="1"/>
  <c r="AV96" i="1"/>
  <c r="AW96" i="1" s="1"/>
  <c r="AX96" i="1" s="1"/>
  <c r="AB96" i="1"/>
  <c r="AV95" i="1"/>
  <c r="AW95" i="1" s="1"/>
  <c r="AX95" i="1" s="1"/>
  <c r="AB95" i="1"/>
  <c r="AV94" i="1"/>
  <c r="AW94" i="1" s="1"/>
  <c r="AX94" i="1" s="1"/>
  <c r="AB94" i="1"/>
  <c r="AV93" i="1"/>
  <c r="AW93" i="1" s="1"/>
  <c r="AX93" i="1" s="1"/>
  <c r="AB93" i="1"/>
  <c r="AV92" i="1"/>
  <c r="AW92" i="1" s="1"/>
  <c r="AX92" i="1" s="1"/>
  <c r="AB92" i="1"/>
  <c r="AV91" i="1"/>
  <c r="AW91" i="1" s="1"/>
  <c r="AX91" i="1" s="1"/>
  <c r="AB91" i="1"/>
  <c r="AV90" i="1"/>
  <c r="AW90" i="1" s="1"/>
  <c r="AX90" i="1" s="1"/>
  <c r="AB90" i="1"/>
  <c r="AV89" i="1"/>
  <c r="AW89" i="1" s="1"/>
  <c r="AX89" i="1" s="1"/>
  <c r="AB89" i="1"/>
  <c r="AV88" i="1"/>
  <c r="AW88" i="1" s="1"/>
  <c r="AX88" i="1" s="1"/>
  <c r="AB88" i="1"/>
  <c r="AV87" i="1"/>
  <c r="AW87" i="1" s="1"/>
  <c r="AX87" i="1" s="1"/>
  <c r="AB87" i="1"/>
  <c r="AV86" i="1"/>
  <c r="AB86" i="1" s="1"/>
  <c r="AG86" i="1" a="1"/>
  <c r="AG86" i="1" s="1"/>
  <c r="AD86" i="1"/>
  <c r="AD87" i="1" s="1"/>
  <c r="AD88" i="1" s="1"/>
  <c r="AD89" i="1" s="1"/>
  <c r="AD90" i="1" s="1"/>
  <c r="AD91" i="1" s="1"/>
  <c r="AD92" i="1" s="1"/>
  <c r="AD93" i="1" s="1"/>
  <c r="AD94" i="1" s="1"/>
  <c r="AD95" i="1" s="1"/>
  <c r="AD96" i="1" s="1"/>
  <c r="AV84" i="1"/>
  <c r="AW84" i="1" s="1"/>
  <c r="AX84" i="1" s="1"/>
  <c r="AB84" i="1"/>
  <c r="AV83" i="1"/>
  <c r="AW83" i="1" s="1"/>
  <c r="AX83" i="1" s="1"/>
  <c r="AB83" i="1"/>
  <c r="AV82" i="1"/>
  <c r="AW82" i="1" s="1"/>
  <c r="AX82" i="1" s="1"/>
  <c r="AB82" i="1"/>
  <c r="AV81" i="1"/>
  <c r="AW81" i="1" s="1"/>
  <c r="AX81" i="1" s="1"/>
  <c r="AB81" i="1"/>
  <c r="AV80" i="1"/>
  <c r="AW80" i="1" s="1"/>
  <c r="AX80" i="1" s="1"/>
  <c r="AB80" i="1"/>
  <c r="AV79" i="1"/>
  <c r="AW79" i="1" s="1"/>
  <c r="AX79" i="1" s="1"/>
  <c r="AB79" i="1"/>
  <c r="AV78" i="1"/>
  <c r="AW78" i="1" s="1"/>
  <c r="AX78" i="1" s="1"/>
  <c r="AB78" i="1"/>
  <c r="AV77" i="1"/>
  <c r="AW77" i="1" s="1"/>
  <c r="AX77" i="1" s="1"/>
  <c r="AB77" i="1"/>
  <c r="AV76" i="1"/>
  <c r="AW76" i="1" s="1"/>
  <c r="AX76" i="1" s="1"/>
  <c r="AB76" i="1"/>
  <c r="AV75" i="1"/>
  <c r="AW75" i="1" s="1"/>
  <c r="AX75" i="1" s="1"/>
  <c r="AB75" i="1"/>
  <c r="AV74" i="1"/>
  <c r="AB74" i="1" s="1"/>
  <c r="AG74" i="1" a="1"/>
  <c r="AG74" i="1" s="1"/>
  <c r="AD74" i="1"/>
  <c r="AD75" i="1" s="1"/>
  <c r="AD76" i="1" s="1"/>
  <c r="AD77" i="1" s="1"/>
  <c r="AD78" i="1" s="1"/>
  <c r="AD79" i="1" s="1"/>
  <c r="AD80" i="1" s="1"/>
  <c r="AD81" i="1" s="1"/>
  <c r="AD82" i="1" s="1"/>
  <c r="AD83" i="1" s="1"/>
  <c r="AD84" i="1" s="1"/>
  <c r="AV72" i="1"/>
  <c r="AW72" i="1" s="1"/>
  <c r="AX72" i="1" s="1"/>
  <c r="AB72" i="1"/>
  <c r="AV71" i="1"/>
  <c r="AW71" i="1" s="1"/>
  <c r="AX71" i="1" s="1"/>
  <c r="AB71" i="1"/>
  <c r="AV70" i="1"/>
  <c r="AW70" i="1" s="1"/>
  <c r="AX70" i="1" s="1"/>
  <c r="AB70" i="1"/>
  <c r="AV69" i="1"/>
  <c r="AW69" i="1" s="1"/>
  <c r="AX69" i="1" s="1"/>
  <c r="AB69" i="1"/>
  <c r="AV68" i="1"/>
  <c r="AW68" i="1" s="1"/>
  <c r="AX68" i="1" s="1"/>
  <c r="AB68" i="1"/>
  <c r="AV67" i="1"/>
  <c r="AW67" i="1" s="1"/>
  <c r="AX67" i="1" s="1"/>
  <c r="AB67" i="1"/>
  <c r="AV66" i="1"/>
  <c r="AW66" i="1" s="1"/>
  <c r="AX66" i="1" s="1"/>
  <c r="AB66" i="1"/>
  <c r="AV65" i="1"/>
  <c r="AW65" i="1" s="1"/>
  <c r="AX65" i="1" s="1"/>
  <c r="AB65" i="1"/>
  <c r="AV64" i="1"/>
  <c r="AW64" i="1" s="1"/>
  <c r="AX64" i="1" s="1"/>
  <c r="AB64" i="1"/>
  <c r="AV63" i="1"/>
  <c r="AW63" i="1" s="1"/>
  <c r="AX63" i="1" s="1"/>
  <c r="AB63" i="1"/>
  <c r="AV62" i="1"/>
  <c r="AB62" i="1" s="1"/>
  <c r="AG62" i="1" a="1"/>
  <c r="AG62" i="1" s="1"/>
  <c r="AD62" i="1"/>
  <c r="AD63" i="1" s="1"/>
  <c r="AD64" i="1" s="1"/>
  <c r="AD65" i="1" s="1"/>
  <c r="AD66" i="1" s="1"/>
  <c r="AD67" i="1" s="1"/>
  <c r="AD68" i="1" s="1"/>
  <c r="AD69" i="1" s="1"/>
  <c r="AD70" i="1" s="1"/>
  <c r="AD71" i="1" s="1"/>
  <c r="AD72" i="1" s="1"/>
  <c r="AV60" i="1"/>
  <c r="AW60" i="1" s="1"/>
  <c r="AX60" i="1" s="1"/>
  <c r="AB60" i="1"/>
  <c r="AV59" i="1"/>
  <c r="AW59" i="1" s="1"/>
  <c r="AX59" i="1" s="1"/>
  <c r="AB59" i="1"/>
  <c r="AV58" i="1"/>
  <c r="AW58" i="1" s="1"/>
  <c r="AX58" i="1" s="1"/>
  <c r="AB58" i="1"/>
  <c r="AV57" i="1"/>
  <c r="AW57" i="1" s="1"/>
  <c r="AX57" i="1" s="1"/>
  <c r="AB57" i="1"/>
  <c r="AV56" i="1"/>
  <c r="AW56" i="1" s="1"/>
  <c r="AX56" i="1" s="1"/>
  <c r="AB56" i="1"/>
  <c r="AV55" i="1"/>
  <c r="AW55" i="1" s="1"/>
  <c r="AX55" i="1" s="1"/>
  <c r="AB55" i="1"/>
  <c r="AV54" i="1"/>
  <c r="AW54" i="1" s="1"/>
  <c r="AX54" i="1" s="1"/>
  <c r="AS54" i="1" s="1"/>
  <c r="AT54" i="1" s="1"/>
  <c r="AC54" i="1"/>
  <c r="AU54" i="1" s="1"/>
  <c r="AB54" i="1"/>
  <c r="AV53" i="1"/>
  <c r="AW53" i="1" s="1"/>
  <c r="AX53" i="1" s="1"/>
  <c r="AC53" i="1" s="1"/>
  <c r="AU53" i="1" s="1"/>
  <c r="AS53" i="1"/>
  <c r="AT53" i="1" s="1"/>
  <c r="AB53" i="1"/>
  <c r="AV52" i="1"/>
  <c r="AW52" i="1" s="1"/>
  <c r="AX52" i="1" s="1"/>
  <c r="AS52" i="1"/>
  <c r="AT52" i="1" s="1"/>
  <c r="AC52" i="1"/>
  <c r="AU52" i="1" s="1"/>
  <c r="AB52" i="1"/>
  <c r="AV51" i="1"/>
  <c r="AW51" i="1" s="1"/>
  <c r="AX51" i="1" s="1"/>
  <c r="AS51" i="1"/>
  <c r="AT51" i="1" s="1"/>
  <c r="AC51" i="1"/>
  <c r="AU51" i="1" s="1"/>
  <c r="AB51" i="1"/>
  <c r="AV50" i="1"/>
  <c r="AB50" i="1" s="1"/>
  <c r="AG50" i="1" a="1"/>
  <c r="AG50" i="1" s="1"/>
  <c r="AD50" i="1"/>
  <c r="AD51" i="1" s="1"/>
  <c r="AD52" i="1" s="1"/>
  <c r="AD53" i="1" s="1"/>
  <c r="AD54" i="1" s="1"/>
  <c r="AD55" i="1" s="1"/>
  <c r="AD56" i="1" s="1"/>
  <c r="AD57" i="1" s="1"/>
  <c r="AD58" i="1" s="1"/>
  <c r="AD59" i="1" s="1"/>
  <c r="AD60" i="1" s="1"/>
  <c r="AV48" i="1"/>
  <c r="AW48" i="1" s="1"/>
  <c r="AX48" i="1" s="1"/>
  <c r="AB48" i="1"/>
  <c r="AV47" i="1"/>
  <c r="AW47" i="1" s="1"/>
  <c r="AX47" i="1" s="1"/>
  <c r="AB47" i="1"/>
  <c r="AV46" i="1"/>
  <c r="AW46" i="1" s="1"/>
  <c r="AX46" i="1" s="1"/>
  <c r="AB46" i="1"/>
  <c r="AV45" i="1"/>
  <c r="AW45" i="1" s="1"/>
  <c r="AX45" i="1" s="1"/>
  <c r="AB45" i="1"/>
  <c r="AV44" i="1"/>
  <c r="AW44" i="1" s="1"/>
  <c r="AX44" i="1" s="1"/>
  <c r="AS44" i="1" s="1"/>
  <c r="AT44" i="1" s="1"/>
  <c r="AC44" i="1"/>
  <c r="AU44" i="1" s="1"/>
  <c r="AB44" i="1"/>
  <c r="AV43" i="1"/>
  <c r="AW43" i="1" s="1"/>
  <c r="AX43" i="1" s="1"/>
  <c r="AS43" i="1" s="1"/>
  <c r="AT43" i="1" s="1"/>
  <c r="AC43" i="1"/>
  <c r="AU43" i="1" s="1"/>
  <c r="AB43" i="1"/>
  <c r="AV42" i="1"/>
  <c r="AW42" i="1" s="1"/>
  <c r="AX42" i="1" s="1"/>
  <c r="AC42" i="1" s="1"/>
  <c r="AU42" i="1" s="1"/>
  <c r="AS42" i="1"/>
  <c r="AT42" i="1" s="1"/>
  <c r="AB42" i="1"/>
  <c r="AV41" i="1"/>
  <c r="AW41" i="1" s="1"/>
  <c r="AX41" i="1" s="1"/>
  <c r="AS41" i="1"/>
  <c r="AT41" i="1" s="1"/>
  <c r="AC41" i="1"/>
  <c r="AU41" i="1" s="1"/>
  <c r="AB41" i="1"/>
  <c r="AV40" i="1"/>
  <c r="AW40" i="1" s="1"/>
  <c r="AX40" i="1" s="1"/>
  <c r="AS40" i="1" s="1"/>
  <c r="AT40" i="1" s="1"/>
  <c r="AB40" i="1"/>
  <c r="AV39" i="1"/>
  <c r="AW39" i="1" s="1"/>
  <c r="AX39" i="1" s="1"/>
  <c r="AS39" i="1"/>
  <c r="AT39" i="1" s="1"/>
  <c r="AC39" i="1"/>
  <c r="AU39" i="1" s="1"/>
  <c r="AB39" i="1"/>
  <c r="AV38" i="1"/>
  <c r="AB38" i="1" s="1"/>
  <c r="AG38" i="1" a="1"/>
  <c r="AG38" i="1" s="1"/>
  <c r="AD38" i="1"/>
  <c r="AD39" i="1" s="1"/>
  <c r="AD40" i="1" s="1"/>
  <c r="AD41" i="1" s="1"/>
  <c r="AD42" i="1" s="1"/>
  <c r="AD43" i="1" s="1"/>
  <c r="AD44" i="1" s="1"/>
  <c r="AD45" i="1" s="1"/>
  <c r="AD46" i="1" s="1"/>
  <c r="AD47" i="1" s="1"/>
  <c r="AD48" i="1" s="1"/>
  <c r="AV36" i="1"/>
  <c r="AW36" i="1" s="1"/>
  <c r="AX36" i="1" s="1"/>
  <c r="AB36" i="1"/>
  <c r="AV35" i="1"/>
  <c r="AW35" i="1" s="1"/>
  <c r="AX35" i="1" s="1"/>
  <c r="AB35" i="1"/>
  <c r="AV34" i="1"/>
  <c r="AW34" i="1" s="1"/>
  <c r="AX34" i="1" s="1"/>
  <c r="AB34" i="1"/>
  <c r="AV33" i="1"/>
  <c r="AW33" i="1" s="1"/>
  <c r="AX33" i="1" s="1"/>
  <c r="AB33" i="1"/>
  <c r="AV32" i="1"/>
  <c r="AW32" i="1" s="1"/>
  <c r="AX32" i="1" s="1"/>
  <c r="AB32" i="1"/>
  <c r="AV31" i="1"/>
  <c r="AW31" i="1" s="1"/>
  <c r="AX31" i="1" s="1"/>
  <c r="AB31" i="1"/>
  <c r="AV30" i="1"/>
  <c r="AW30" i="1" s="1"/>
  <c r="AX30" i="1" s="1"/>
  <c r="AB30" i="1"/>
  <c r="AV29" i="1"/>
  <c r="AW29" i="1" s="1"/>
  <c r="AX29" i="1" s="1"/>
  <c r="AB29" i="1"/>
  <c r="AV28" i="1"/>
  <c r="AW28" i="1" s="1"/>
  <c r="AX28" i="1" s="1"/>
  <c r="AB28" i="1"/>
  <c r="AV27" i="1"/>
  <c r="AW27" i="1" s="1"/>
  <c r="AX27" i="1" s="1"/>
  <c r="AB27" i="1"/>
  <c r="AV26" i="1"/>
  <c r="AB26" i="1" s="1"/>
  <c r="AG26" i="1" a="1"/>
  <c r="AG26" i="1" s="1"/>
  <c r="AV24" i="1"/>
  <c r="AW24" i="1" s="1"/>
  <c r="AX24" i="1" s="1"/>
  <c r="AB24" i="1"/>
  <c r="AV23" i="1"/>
  <c r="AW23" i="1" s="1"/>
  <c r="AX23" i="1" s="1"/>
  <c r="AB23" i="1"/>
  <c r="AV22" i="1"/>
  <c r="AW22" i="1" s="1"/>
  <c r="AX22" i="1" s="1"/>
  <c r="AB22" i="1"/>
  <c r="AV21" i="1"/>
  <c r="AW21" i="1" s="1"/>
  <c r="AX21" i="1" s="1"/>
  <c r="AB21" i="1"/>
  <c r="AV20" i="1"/>
  <c r="AW20" i="1" s="1"/>
  <c r="AX20" i="1" s="1"/>
  <c r="AB20" i="1"/>
  <c r="AV19" i="1"/>
  <c r="AW19" i="1" s="1"/>
  <c r="AX19" i="1" s="1"/>
  <c r="AB19" i="1"/>
  <c r="AV18" i="1"/>
  <c r="AW18" i="1" s="1"/>
  <c r="AX18" i="1" s="1"/>
  <c r="AB18" i="1"/>
  <c r="AV17" i="1"/>
  <c r="AW17" i="1" s="1"/>
  <c r="AX17" i="1" s="1"/>
  <c r="AB17" i="1"/>
  <c r="AV16" i="1"/>
  <c r="AW16" i="1" s="1"/>
  <c r="AX16" i="1" s="1"/>
  <c r="AB16" i="1"/>
  <c r="AV15" i="1"/>
  <c r="AW15" i="1" s="1"/>
  <c r="AX15" i="1" s="1"/>
  <c r="AB15" i="1"/>
  <c r="AV14" i="1"/>
  <c r="AB14" i="1" s="1"/>
  <c r="AG14" i="1" a="1"/>
  <c r="AG14" i="1" s="1"/>
  <c r="AD14" i="1"/>
  <c r="AD15" i="1" s="1"/>
  <c r="AD16" i="1" s="1"/>
  <c r="AD17" i="1" s="1"/>
  <c r="AD18" i="1" s="1"/>
  <c r="AD19" i="1" s="1"/>
  <c r="AD20" i="1" s="1"/>
  <c r="AD21" i="1" s="1"/>
  <c r="AD22" i="1" s="1"/>
  <c r="AD23" i="1" s="1"/>
  <c r="AD24" i="1" s="1"/>
  <c r="AG2" i="1" a="1"/>
  <c r="AG2" i="1" s="1"/>
  <c r="AG3" i="1" s="1"/>
  <c r="AG4" i="1" s="1"/>
  <c r="AG5" i="1" s="1"/>
  <c r="AG6" i="1" s="1"/>
  <c r="AG7" i="1" s="1"/>
  <c r="AG8" i="1" s="1"/>
  <c r="AG9" i="1" s="1"/>
  <c r="AL494" i="1" l="1"/>
  <c r="AG495" i="1"/>
  <c r="AG496" i="1" s="1"/>
  <c r="AG497" i="1" s="1"/>
  <c r="AG498" i="1" s="1"/>
  <c r="AG499" i="1" s="1"/>
  <c r="AG500" i="1" s="1"/>
  <c r="AG501" i="1" s="1"/>
  <c r="AG502" i="1" s="1"/>
  <c r="AG503" i="1" s="1"/>
  <c r="AG504" i="1" s="1"/>
  <c r="AS501" i="1"/>
  <c r="AT501" i="1" s="1"/>
  <c r="AC501" i="1"/>
  <c r="AU501" i="1" s="1"/>
  <c r="AS502" i="1"/>
  <c r="AT502" i="1" s="1"/>
  <c r="AC502" i="1"/>
  <c r="AU502" i="1" s="1"/>
  <c r="AS495" i="1"/>
  <c r="AT495" i="1" s="1"/>
  <c r="AC495" i="1"/>
  <c r="AU495" i="1" s="1"/>
  <c r="AC503" i="1"/>
  <c r="AU503" i="1" s="1"/>
  <c r="AS503" i="1"/>
  <c r="AT503" i="1" s="1"/>
  <c r="AS497" i="1"/>
  <c r="AT497" i="1" s="1"/>
  <c r="AC497" i="1"/>
  <c r="AU497" i="1" s="1"/>
  <c r="AS498" i="1"/>
  <c r="AT498" i="1" s="1"/>
  <c r="AC498" i="1"/>
  <c r="AU498" i="1" s="1"/>
  <c r="AS499" i="1"/>
  <c r="AT499" i="1" s="1"/>
  <c r="AC499" i="1"/>
  <c r="AU499" i="1" s="1"/>
  <c r="AS496" i="1"/>
  <c r="AT496" i="1" s="1"/>
  <c r="AC496" i="1"/>
  <c r="AU496" i="1" s="1"/>
  <c r="AS500" i="1"/>
  <c r="AT500" i="1" s="1"/>
  <c r="AC500" i="1"/>
  <c r="AU500" i="1" s="1"/>
  <c r="AS504" i="1"/>
  <c r="AT504" i="1" s="1"/>
  <c r="AC504" i="1"/>
  <c r="AU504" i="1" s="1"/>
  <c r="AW494" i="1"/>
  <c r="AS485" i="1"/>
  <c r="AT485" i="1" s="1"/>
  <c r="AC485" i="1"/>
  <c r="AU485" i="1" s="1"/>
  <c r="AS486" i="1"/>
  <c r="AT486" i="1" s="1"/>
  <c r="AC486" i="1"/>
  <c r="AU486" i="1" s="1"/>
  <c r="AS490" i="1"/>
  <c r="AT490" i="1" s="1"/>
  <c r="AC490" i="1"/>
  <c r="AU490" i="1" s="1"/>
  <c r="AS489" i="1"/>
  <c r="AT489" i="1" s="1"/>
  <c r="AC489" i="1"/>
  <c r="AU489" i="1" s="1"/>
  <c r="AS483" i="1"/>
  <c r="AT483" i="1" s="1"/>
  <c r="AC483" i="1"/>
  <c r="AU483" i="1" s="1"/>
  <c r="AS487" i="1"/>
  <c r="AT487" i="1" s="1"/>
  <c r="AC487" i="1"/>
  <c r="AU487" i="1" s="1"/>
  <c r="AS491" i="1"/>
  <c r="AT491" i="1" s="1"/>
  <c r="AC491" i="1"/>
  <c r="AU491" i="1" s="1"/>
  <c r="AL483" i="1"/>
  <c r="AR482" i="1"/>
  <c r="AS484" i="1"/>
  <c r="AT484" i="1" s="1"/>
  <c r="AC484" i="1"/>
  <c r="AU484" i="1" s="1"/>
  <c r="AS488" i="1"/>
  <c r="AT488" i="1" s="1"/>
  <c r="AC488" i="1"/>
  <c r="AU488" i="1" s="1"/>
  <c r="AS492" i="1"/>
  <c r="AT492" i="1" s="1"/>
  <c r="AC492" i="1"/>
  <c r="AU492" i="1" s="1"/>
  <c r="AW482" i="1"/>
  <c r="AG483" i="1"/>
  <c r="AG484" i="1" s="1"/>
  <c r="AG485" i="1" s="1"/>
  <c r="AG486" i="1" s="1"/>
  <c r="AG487" i="1" s="1"/>
  <c r="AG488" i="1" s="1"/>
  <c r="AG489" i="1" s="1"/>
  <c r="AG490" i="1" s="1"/>
  <c r="AG491" i="1" s="1"/>
  <c r="AG492" i="1" s="1"/>
  <c r="AS473" i="1"/>
  <c r="AT473" i="1" s="1"/>
  <c r="AC473" i="1"/>
  <c r="AU473" i="1" s="1"/>
  <c r="AS477" i="1"/>
  <c r="AT477" i="1" s="1"/>
  <c r="AC477" i="1"/>
  <c r="AU477" i="1" s="1"/>
  <c r="AL471" i="1"/>
  <c r="AR470" i="1"/>
  <c r="AS474" i="1"/>
  <c r="AT474" i="1" s="1"/>
  <c r="AC474" i="1"/>
  <c r="AU474" i="1" s="1"/>
  <c r="AS478" i="1"/>
  <c r="AT478" i="1" s="1"/>
  <c r="AC478" i="1"/>
  <c r="AU478" i="1" s="1"/>
  <c r="AS471" i="1"/>
  <c r="AT471" i="1" s="1"/>
  <c r="AC471" i="1"/>
  <c r="AU471" i="1" s="1"/>
  <c r="AS475" i="1"/>
  <c r="AT475" i="1" s="1"/>
  <c r="AC475" i="1"/>
  <c r="AU475" i="1" s="1"/>
  <c r="AS479" i="1"/>
  <c r="AT479" i="1" s="1"/>
  <c r="AC479" i="1"/>
  <c r="AU479" i="1" s="1"/>
  <c r="AS472" i="1"/>
  <c r="AT472" i="1" s="1"/>
  <c r="AC472" i="1"/>
  <c r="AU472" i="1" s="1"/>
  <c r="AS476" i="1"/>
  <c r="AT476" i="1" s="1"/>
  <c r="AC476" i="1"/>
  <c r="AU476" i="1" s="1"/>
  <c r="AS480" i="1"/>
  <c r="AT480" i="1" s="1"/>
  <c r="AC480" i="1"/>
  <c r="AU480" i="1" s="1"/>
  <c r="AD470" i="1"/>
  <c r="AD471" i="1" s="1"/>
  <c r="AD472" i="1" s="1"/>
  <c r="AD473" i="1" s="1"/>
  <c r="AD474" i="1" s="1"/>
  <c r="AD475" i="1" s="1"/>
  <c r="AD476" i="1" s="1"/>
  <c r="AD477" i="1" s="1"/>
  <c r="AD478" i="1" s="1"/>
  <c r="AD479" i="1" s="1"/>
  <c r="AD480" i="1" s="1"/>
  <c r="AB471" i="1"/>
  <c r="AW470" i="1"/>
  <c r="AG471" i="1"/>
  <c r="AG472" i="1" s="1"/>
  <c r="AG473" i="1" s="1"/>
  <c r="AG474" i="1" s="1"/>
  <c r="AG475" i="1" s="1"/>
  <c r="AG476" i="1" s="1"/>
  <c r="AG477" i="1" s="1"/>
  <c r="AG478" i="1" s="1"/>
  <c r="AG479" i="1" s="1"/>
  <c r="AG480" i="1" s="1"/>
  <c r="AS462" i="1"/>
  <c r="AT462" i="1" s="1"/>
  <c r="AC462" i="1"/>
  <c r="AU462" i="1" s="1"/>
  <c r="AS466" i="1"/>
  <c r="AT466" i="1" s="1"/>
  <c r="AC466" i="1"/>
  <c r="AU466" i="1" s="1"/>
  <c r="AS461" i="1"/>
  <c r="AT461" i="1" s="1"/>
  <c r="AC461" i="1"/>
  <c r="AU461" i="1" s="1"/>
  <c r="AS465" i="1"/>
  <c r="AT465" i="1" s="1"/>
  <c r="AC465" i="1"/>
  <c r="AU465" i="1" s="1"/>
  <c r="AL458" i="1"/>
  <c r="AG459" i="1"/>
  <c r="AG460" i="1" s="1"/>
  <c r="AG461" i="1" s="1"/>
  <c r="AG462" i="1" s="1"/>
  <c r="AG463" i="1" s="1"/>
  <c r="AG464" i="1" s="1"/>
  <c r="AG465" i="1" s="1"/>
  <c r="AG466" i="1" s="1"/>
  <c r="AG467" i="1" s="1"/>
  <c r="AG468" i="1" s="1"/>
  <c r="AS459" i="1"/>
  <c r="AT459" i="1" s="1"/>
  <c r="AC459" i="1"/>
  <c r="AU459" i="1" s="1"/>
  <c r="AS463" i="1"/>
  <c r="AT463" i="1" s="1"/>
  <c r="AC463" i="1"/>
  <c r="AU463" i="1" s="1"/>
  <c r="AS467" i="1"/>
  <c r="AT467" i="1" s="1"/>
  <c r="AC467" i="1"/>
  <c r="AU467" i="1" s="1"/>
  <c r="AS460" i="1"/>
  <c r="AT460" i="1" s="1"/>
  <c r="AC460" i="1"/>
  <c r="AU460" i="1" s="1"/>
  <c r="AS464" i="1"/>
  <c r="AT464" i="1" s="1"/>
  <c r="AC464" i="1"/>
  <c r="AU464" i="1" s="1"/>
  <c r="AS468" i="1"/>
  <c r="AT468" i="1" s="1"/>
  <c r="AC468" i="1"/>
  <c r="AU468" i="1" s="1"/>
  <c r="AD458" i="1"/>
  <c r="AD459" i="1" s="1"/>
  <c r="AD460" i="1" s="1"/>
  <c r="AD461" i="1" s="1"/>
  <c r="AD462" i="1" s="1"/>
  <c r="AD463" i="1" s="1"/>
  <c r="AD464" i="1" s="1"/>
  <c r="AD465" i="1" s="1"/>
  <c r="AD466" i="1" s="1"/>
  <c r="AD467" i="1" s="1"/>
  <c r="AD468" i="1" s="1"/>
  <c r="AW458" i="1"/>
  <c r="AS450" i="1"/>
  <c r="AT450" i="1" s="1"/>
  <c r="AC450" i="1"/>
  <c r="AU450" i="1" s="1"/>
  <c r="AS454" i="1"/>
  <c r="AT454" i="1" s="1"/>
  <c r="AC454" i="1"/>
  <c r="AU454" i="1" s="1"/>
  <c r="AS449" i="1"/>
  <c r="AT449" i="1" s="1"/>
  <c r="AC449" i="1"/>
  <c r="AU449" i="1" s="1"/>
  <c r="AS447" i="1"/>
  <c r="AT447" i="1" s="1"/>
  <c r="AC447" i="1"/>
  <c r="AU447" i="1" s="1"/>
  <c r="AS451" i="1"/>
  <c r="AT451" i="1" s="1"/>
  <c r="AC451" i="1"/>
  <c r="AU451" i="1" s="1"/>
  <c r="AL446" i="1"/>
  <c r="AG447" i="1"/>
  <c r="AG448" i="1" s="1"/>
  <c r="AG449" i="1" s="1"/>
  <c r="AG450" i="1" s="1"/>
  <c r="AG451" i="1" s="1"/>
  <c r="AG452" i="1" s="1"/>
  <c r="AG453" i="1" s="1"/>
  <c r="AG454" i="1" s="1"/>
  <c r="AG455" i="1" s="1"/>
  <c r="AG456" i="1" s="1"/>
  <c r="AS455" i="1"/>
  <c r="AT455" i="1" s="1"/>
  <c r="AC455" i="1"/>
  <c r="AU455" i="1" s="1"/>
  <c r="AS453" i="1"/>
  <c r="AT453" i="1" s="1"/>
  <c r="AC453" i="1"/>
  <c r="AU453" i="1" s="1"/>
  <c r="AS448" i="1"/>
  <c r="AT448" i="1" s="1"/>
  <c r="AC448" i="1"/>
  <c r="AU448" i="1" s="1"/>
  <c r="AS452" i="1"/>
  <c r="AT452" i="1" s="1"/>
  <c r="AC452" i="1"/>
  <c r="AU452" i="1" s="1"/>
  <c r="AS456" i="1"/>
  <c r="AT456" i="1" s="1"/>
  <c r="AC456" i="1"/>
  <c r="AU456" i="1" s="1"/>
  <c r="AD446" i="1"/>
  <c r="AD447" i="1" s="1"/>
  <c r="AD448" i="1" s="1"/>
  <c r="AD449" i="1" s="1"/>
  <c r="AD450" i="1" s="1"/>
  <c r="AD451" i="1" s="1"/>
  <c r="AD452" i="1" s="1"/>
  <c r="AD453" i="1" s="1"/>
  <c r="AD454" i="1" s="1"/>
  <c r="AD455" i="1" s="1"/>
  <c r="AD456" i="1" s="1"/>
  <c r="AW446" i="1"/>
  <c r="AL434" i="1"/>
  <c r="AG435" i="1"/>
  <c r="AG436" i="1" s="1"/>
  <c r="AG437" i="1" s="1"/>
  <c r="AG438" i="1" s="1"/>
  <c r="AG439" i="1" s="1"/>
  <c r="AG440" i="1" s="1"/>
  <c r="AG441" i="1" s="1"/>
  <c r="AG442" i="1" s="1"/>
  <c r="AG443" i="1" s="1"/>
  <c r="AG444" i="1" s="1"/>
  <c r="AS438" i="1"/>
  <c r="AT438" i="1" s="1"/>
  <c r="AC438" i="1"/>
  <c r="AU438" i="1" s="1"/>
  <c r="AS442" i="1"/>
  <c r="AT442" i="1" s="1"/>
  <c r="AC442" i="1"/>
  <c r="AU442" i="1" s="1"/>
  <c r="AS437" i="1"/>
  <c r="AT437" i="1" s="1"/>
  <c r="AC437" i="1"/>
  <c r="AU437" i="1" s="1"/>
  <c r="AS435" i="1"/>
  <c r="AT435" i="1" s="1"/>
  <c r="AC435" i="1"/>
  <c r="AU435" i="1" s="1"/>
  <c r="AS439" i="1"/>
  <c r="AT439" i="1" s="1"/>
  <c r="AC439" i="1"/>
  <c r="AU439" i="1" s="1"/>
  <c r="AS443" i="1"/>
  <c r="AT443" i="1" s="1"/>
  <c r="AC443" i="1"/>
  <c r="AU443" i="1" s="1"/>
  <c r="AS441" i="1"/>
  <c r="AT441" i="1" s="1"/>
  <c r="AC441" i="1"/>
  <c r="AU441" i="1" s="1"/>
  <c r="AS436" i="1"/>
  <c r="AT436" i="1" s="1"/>
  <c r="AC436" i="1"/>
  <c r="AU436" i="1" s="1"/>
  <c r="AS440" i="1"/>
  <c r="AT440" i="1" s="1"/>
  <c r="AC440" i="1"/>
  <c r="AU440" i="1" s="1"/>
  <c r="AS444" i="1"/>
  <c r="AT444" i="1" s="1"/>
  <c r="AC444" i="1"/>
  <c r="AU444" i="1" s="1"/>
  <c r="AW434" i="1"/>
  <c r="AS425" i="1"/>
  <c r="AT425" i="1" s="1"/>
  <c r="AC425" i="1"/>
  <c r="AU425" i="1" s="1"/>
  <c r="AS429" i="1"/>
  <c r="AT429" i="1" s="1"/>
  <c r="AC429" i="1"/>
  <c r="AU429" i="1" s="1"/>
  <c r="AL422" i="1"/>
  <c r="AG423" i="1"/>
  <c r="AG424" i="1" s="1"/>
  <c r="AG425" i="1" s="1"/>
  <c r="AG426" i="1" s="1"/>
  <c r="AG427" i="1" s="1"/>
  <c r="AG428" i="1" s="1"/>
  <c r="AG429" i="1" s="1"/>
  <c r="AG430" i="1" s="1"/>
  <c r="AG431" i="1" s="1"/>
  <c r="AG432" i="1" s="1"/>
  <c r="AS426" i="1"/>
  <c r="AT426" i="1" s="1"/>
  <c r="AC426" i="1"/>
  <c r="AU426" i="1" s="1"/>
  <c r="AS430" i="1"/>
  <c r="AT430" i="1" s="1"/>
  <c r="AC430" i="1"/>
  <c r="AU430" i="1" s="1"/>
  <c r="AS423" i="1"/>
  <c r="AT423" i="1" s="1"/>
  <c r="AC423" i="1"/>
  <c r="AU423" i="1" s="1"/>
  <c r="AS427" i="1"/>
  <c r="AT427" i="1" s="1"/>
  <c r="AC427" i="1"/>
  <c r="AU427" i="1" s="1"/>
  <c r="AS431" i="1"/>
  <c r="AT431" i="1" s="1"/>
  <c r="AC431" i="1"/>
  <c r="AU431" i="1" s="1"/>
  <c r="AS424" i="1"/>
  <c r="AT424" i="1" s="1"/>
  <c r="AC424" i="1"/>
  <c r="AU424" i="1" s="1"/>
  <c r="AS428" i="1"/>
  <c r="AT428" i="1" s="1"/>
  <c r="AC428" i="1"/>
  <c r="AU428" i="1" s="1"/>
  <c r="AS432" i="1"/>
  <c r="AT432" i="1" s="1"/>
  <c r="AC432" i="1"/>
  <c r="AU432" i="1" s="1"/>
  <c r="AD422" i="1"/>
  <c r="AD423" i="1" s="1"/>
  <c r="AD424" i="1" s="1"/>
  <c r="AD425" i="1" s="1"/>
  <c r="AD426" i="1" s="1"/>
  <c r="AD427" i="1" s="1"/>
  <c r="AD428" i="1" s="1"/>
  <c r="AD429" i="1" s="1"/>
  <c r="AD430" i="1" s="1"/>
  <c r="AD431" i="1" s="1"/>
  <c r="AD432" i="1" s="1"/>
  <c r="AW422" i="1"/>
  <c r="AS416" i="1"/>
  <c r="AT416" i="1" s="1"/>
  <c r="AC416" i="1"/>
  <c r="AU416" i="1" s="1"/>
  <c r="AS413" i="1"/>
  <c r="AT413" i="1" s="1"/>
  <c r="AC413" i="1"/>
  <c r="AU413" i="1" s="1"/>
  <c r="AS417" i="1"/>
  <c r="AT417" i="1" s="1"/>
  <c r="AC417" i="1"/>
  <c r="AU417" i="1" s="1"/>
  <c r="AL410" i="1"/>
  <c r="AG411" i="1"/>
  <c r="AG412" i="1" s="1"/>
  <c r="AG413" i="1" s="1"/>
  <c r="AG414" i="1" s="1"/>
  <c r="AG415" i="1" s="1"/>
  <c r="AG416" i="1" s="1"/>
  <c r="AG417" i="1" s="1"/>
  <c r="AG418" i="1" s="1"/>
  <c r="AG419" i="1" s="1"/>
  <c r="AG420" i="1" s="1"/>
  <c r="AS420" i="1"/>
  <c r="AT420" i="1" s="1"/>
  <c r="AC420" i="1"/>
  <c r="AU420" i="1" s="1"/>
  <c r="AY410" i="1"/>
  <c r="AX410" i="1"/>
  <c r="AS414" i="1"/>
  <c r="AT414" i="1" s="1"/>
  <c r="AC414" i="1"/>
  <c r="AU414" i="1" s="1"/>
  <c r="AS418" i="1"/>
  <c r="AT418" i="1" s="1"/>
  <c r="AC418" i="1"/>
  <c r="AU418" i="1" s="1"/>
  <c r="AS412" i="1"/>
  <c r="AT412" i="1" s="1"/>
  <c r="AC412" i="1"/>
  <c r="AU412" i="1" s="1"/>
  <c r="AS411" i="1"/>
  <c r="AT411" i="1" s="1"/>
  <c r="AC411" i="1"/>
  <c r="AU411" i="1" s="1"/>
  <c r="AS415" i="1"/>
  <c r="AT415" i="1" s="1"/>
  <c r="AC415" i="1"/>
  <c r="AU415" i="1" s="1"/>
  <c r="AS419" i="1"/>
  <c r="AT419" i="1" s="1"/>
  <c r="AC419" i="1"/>
  <c r="AU419" i="1" s="1"/>
  <c r="AD410" i="1"/>
  <c r="AD411" i="1" s="1"/>
  <c r="AD412" i="1" s="1"/>
  <c r="AD413" i="1" s="1"/>
  <c r="AD414" i="1" s="1"/>
  <c r="AD415" i="1" s="1"/>
  <c r="AD416" i="1" s="1"/>
  <c r="AD417" i="1" s="1"/>
  <c r="AD418" i="1" s="1"/>
  <c r="AD419" i="1" s="1"/>
  <c r="AD420" i="1" s="1"/>
  <c r="AS401" i="1"/>
  <c r="AT401" i="1" s="1"/>
  <c r="AC401" i="1"/>
  <c r="AU401" i="1" s="1"/>
  <c r="AS405" i="1"/>
  <c r="AT405" i="1" s="1"/>
  <c r="AC405" i="1"/>
  <c r="AU405" i="1" s="1"/>
  <c r="AL398" i="1"/>
  <c r="AG399" i="1"/>
  <c r="AG400" i="1" s="1"/>
  <c r="AG401" i="1" s="1"/>
  <c r="AG402" i="1" s="1"/>
  <c r="AG403" i="1" s="1"/>
  <c r="AG404" i="1" s="1"/>
  <c r="AG405" i="1" s="1"/>
  <c r="AG406" i="1" s="1"/>
  <c r="AG407" i="1" s="1"/>
  <c r="AG408" i="1" s="1"/>
  <c r="AS402" i="1"/>
  <c r="AT402" i="1" s="1"/>
  <c r="AC402" i="1"/>
  <c r="AU402" i="1" s="1"/>
  <c r="AS406" i="1"/>
  <c r="AT406" i="1" s="1"/>
  <c r="AC406" i="1"/>
  <c r="AU406" i="1" s="1"/>
  <c r="AS399" i="1"/>
  <c r="AT399" i="1" s="1"/>
  <c r="AC399" i="1"/>
  <c r="AU399" i="1" s="1"/>
  <c r="AS403" i="1"/>
  <c r="AT403" i="1" s="1"/>
  <c r="AC403" i="1"/>
  <c r="AU403" i="1" s="1"/>
  <c r="AS407" i="1"/>
  <c r="AT407" i="1" s="1"/>
  <c r="AC407" i="1"/>
  <c r="AU407" i="1" s="1"/>
  <c r="AS400" i="1"/>
  <c r="AT400" i="1" s="1"/>
  <c r="AC400" i="1"/>
  <c r="AU400" i="1" s="1"/>
  <c r="AS404" i="1"/>
  <c r="AT404" i="1" s="1"/>
  <c r="AC404" i="1"/>
  <c r="AU404" i="1" s="1"/>
  <c r="AS408" i="1"/>
  <c r="AT408" i="1" s="1"/>
  <c r="AC408" i="1"/>
  <c r="AU408" i="1" s="1"/>
  <c r="AD398" i="1"/>
  <c r="AD399" i="1" s="1"/>
  <c r="AD400" i="1" s="1"/>
  <c r="AD401" i="1" s="1"/>
  <c r="AD402" i="1" s="1"/>
  <c r="AD403" i="1" s="1"/>
  <c r="AD404" i="1" s="1"/>
  <c r="AD405" i="1" s="1"/>
  <c r="AD406" i="1" s="1"/>
  <c r="AD407" i="1" s="1"/>
  <c r="AD408" i="1" s="1"/>
  <c r="AW398" i="1"/>
  <c r="AS393" i="1"/>
  <c r="AT393" i="1" s="1"/>
  <c r="AC393" i="1"/>
  <c r="AU393" i="1" s="1"/>
  <c r="AL387" i="1"/>
  <c r="AR386" i="1"/>
  <c r="AC390" i="1"/>
  <c r="AU390" i="1" s="1"/>
  <c r="AS390" i="1"/>
  <c r="AT390" i="1" s="1"/>
  <c r="AS394" i="1"/>
  <c r="AT394" i="1" s="1"/>
  <c r="AC394" i="1"/>
  <c r="AU394" i="1" s="1"/>
  <c r="AC389" i="1"/>
  <c r="AU389" i="1" s="1"/>
  <c r="AS389" i="1"/>
  <c r="AT389" i="1" s="1"/>
  <c r="AC387" i="1"/>
  <c r="AU387" i="1" s="1"/>
  <c r="AS387" i="1"/>
  <c r="AT387" i="1" s="1"/>
  <c r="AC391" i="1"/>
  <c r="AU391" i="1" s="1"/>
  <c r="AS391" i="1"/>
  <c r="AT391" i="1" s="1"/>
  <c r="AC395" i="1"/>
  <c r="AU395" i="1" s="1"/>
  <c r="AS395" i="1"/>
  <c r="AT395" i="1" s="1"/>
  <c r="AC388" i="1"/>
  <c r="AU388" i="1" s="1"/>
  <c r="AS388" i="1"/>
  <c r="AT388" i="1" s="1"/>
  <c r="AS392" i="1"/>
  <c r="AT392" i="1" s="1"/>
  <c r="AC392" i="1"/>
  <c r="AU392" i="1" s="1"/>
  <c r="AS396" i="1"/>
  <c r="AT396" i="1" s="1"/>
  <c r="AC396" i="1"/>
  <c r="AU396" i="1" s="1"/>
  <c r="AG387" i="1"/>
  <c r="AG388" i="1" s="1"/>
  <c r="AG389" i="1" s="1"/>
  <c r="AG390" i="1" s="1"/>
  <c r="AG391" i="1" s="1"/>
  <c r="AG392" i="1" s="1"/>
  <c r="AG393" i="1" s="1"/>
  <c r="AG394" i="1" s="1"/>
  <c r="AG395" i="1" s="1"/>
  <c r="AG396" i="1" s="1"/>
  <c r="AW386" i="1"/>
  <c r="AS382" i="1"/>
  <c r="AT382" i="1" s="1"/>
  <c r="AC382" i="1"/>
  <c r="AU382" i="1" s="1"/>
  <c r="AS381" i="1"/>
  <c r="AT381" i="1" s="1"/>
  <c r="AC381" i="1"/>
  <c r="AU381" i="1" s="1"/>
  <c r="AL374" i="1"/>
  <c r="AG375" i="1"/>
  <c r="AG376" i="1" s="1"/>
  <c r="AG377" i="1" s="1"/>
  <c r="AG378" i="1" s="1"/>
  <c r="AG379" i="1" s="1"/>
  <c r="AG380" i="1" s="1"/>
  <c r="AG381" i="1" s="1"/>
  <c r="AG382" i="1" s="1"/>
  <c r="AG383" i="1" s="1"/>
  <c r="AG384" i="1" s="1"/>
  <c r="AS378" i="1"/>
  <c r="AT378" i="1" s="1"/>
  <c r="AC378" i="1"/>
  <c r="AU378" i="1" s="1"/>
  <c r="AC375" i="1"/>
  <c r="AU375" i="1" s="1"/>
  <c r="AS375" i="1"/>
  <c r="AT375" i="1" s="1"/>
  <c r="AS379" i="1"/>
  <c r="AT379" i="1" s="1"/>
  <c r="AC379" i="1"/>
  <c r="AU379" i="1" s="1"/>
  <c r="AC383" i="1"/>
  <c r="AU383" i="1" s="1"/>
  <c r="AS383" i="1"/>
  <c r="AT383" i="1" s="1"/>
  <c r="AS377" i="1"/>
  <c r="AT377" i="1" s="1"/>
  <c r="AC377" i="1"/>
  <c r="AU377" i="1" s="1"/>
  <c r="AC376" i="1"/>
  <c r="AU376" i="1" s="1"/>
  <c r="AS376" i="1"/>
  <c r="AT376" i="1" s="1"/>
  <c r="AC380" i="1"/>
  <c r="AU380" i="1" s="1"/>
  <c r="AS380" i="1"/>
  <c r="AT380" i="1" s="1"/>
  <c r="AS384" i="1"/>
  <c r="AT384" i="1" s="1"/>
  <c r="AC384" i="1"/>
  <c r="AU384" i="1" s="1"/>
  <c r="AW374" i="1"/>
  <c r="AS365" i="1"/>
  <c r="AT365" i="1" s="1"/>
  <c r="AC365" i="1"/>
  <c r="AU365" i="1" s="1"/>
  <c r="AS369" i="1"/>
  <c r="AT369" i="1" s="1"/>
  <c r="AC369" i="1"/>
  <c r="AU369" i="1" s="1"/>
  <c r="AL363" i="1"/>
  <c r="AR362" i="1"/>
  <c r="AS366" i="1"/>
  <c r="AT366" i="1" s="1"/>
  <c r="AC366" i="1"/>
  <c r="AU366" i="1" s="1"/>
  <c r="AS370" i="1"/>
  <c r="AT370" i="1" s="1"/>
  <c r="AC370" i="1"/>
  <c r="AU370" i="1" s="1"/>
  <c r="AS363" i="1"/>
  <c r="AT363" i="1" s="1"/>
  <c r="AC363" i="1"/>
  <c r="AU363" i="1" s="1"/>
  <c r="AS367" i="1"/>
  <c r="AT367" i="1" s="1"/>
  <c r="AC367" i="1"/>
  <c r="AU367" i="1" s="1"/>
  <c r="AS371" i="1"/>
  <c r="AT371" i="1" s="1"/>
  <c r="AC371" i="1"/>
  <c r="AU371" i="1" s="1"/>
  <c r="AS364" i="1"/>
  <c r="AT364" i="1" s="1"/>
  <c r="AC364" i="1"/>
  <c r="AU364" i="1" s="1"/>
  <c r="AS368" i="1"/>
  <c r="AT368" i="1" s="1"/>
  <c r="AC368" i="1"/>
  <c r="AU368" i="1" s="1"/>
  <c r="AS372" i="1"/>
  <c r="AT372" i="1" s="1"/>
  <c r="AC372" i="1"/>
  <c r="AU372" i="1" s="1"/>
  <c r="AD362" i="1"/>
  <c r="AD363" i="1" s="1"/>
  <c r="AD364" i="1" s="1"/>
  <c r="AD365" i="1" s="1"/>
  <c r="AD366" i="1" s="1"/>
  <c r="AD367" i="1" s="1"/>
  <c r="AD368" i="1" s="1"/>
  <c r="AD369" i="1" s="1"/>
  <c r="AD370" i="1" s="1"/>
  <c r="AD371" i="1" s="1"/>
  <c r="AD372" i="1" s="1"/>
  <c r="AG363" i="1"/>
  <c r="AG364" i="1" s="1"/>
  <c r="AG365" i="1" s="1"/>
  <c r="AG366" i="1" s="1"/>
  <c r="AG367" i="1" s="1"/>
  <c r="AG368" i="1" s="1"/>
  <c r="AG369" i="1" s="1"/>
  <c r="AG370" i="1" s="1"/>
  <c r="AG371" i="1" s="1"/>
  <c r="AG372" i="1" s="1"/>
  <c r="AW362" i="1"/>
  <c r="AC357" i="1"/>
  <c r="AU357" i="1" s="1"/>
  <c r="AS357" i="1"/>
  <c r="AT357" i="1" s="1"/>
  <c r="AS358" i="1"/>
  <c r="AT358" i="1" s="1"/>
  <c r="AC358" i="1"/>
  <c r="AU358" i="1" s="1"/>
  <c r="AS351" i="1"/>
  <c r="AT351" i="1" s="1"/>
  <c r="AC351" i="1"/>
  <c r="AU351" i="1" s="1"/>
  <c r="AS355" i="1"/>
  <c r="AT355" i="1" s="1"/>
  <c r="AC355" i="1"/>
  <c r="AU355" i="1" s="1"/>
  <c r="AS359" i="1"/>
  <c r="AT359" i="1" s="1"/>
  <c r="AC359" i="1"/>
  <c r="AU359" i="1" s="1"/>
  <c r="AL350" i="1"/>
  <c r="AG351" i="1"/>
  <c r="AG352" i="1" s="1"/>
  <c r="AG353" i="1" s="1"/>
  <c r="AG354" i="1" s="1"/>
  <c r="AG355" i="1" s="1"/>
  <c r="AG356" i="1" s="1"/>
  <c r="AG357" i="1" s="1"/>
  <c r="AG358" i="1" s="1"/>
  <c r="AG359" i="1" s="1"/>
  <c r="AG360" i="1" s="1"/>
  <c r="AC354" i="1"/>
  <c r="AU354" i="1" s="1"/>
  <c r="AS354" i="1"/>
  <c r="AT354" i="1" s="1"/>
  <c r="AS353" i="1"/>
  <c r="AT353" i="1" s="1"/>
  <c r="AC353" i="1"/>
  <c r="AU353" i="1" s="1"/>
  <c r="AS352" i="1"/>
  <c r="AT352" i="1" s="1"/>
  <c r="AC352" i="1"/>
  <c r="AU352" i="1" s="1"/>
  <c r="AS356" i="1"/>
  <c r="AT356" i="1" s="1"/>
  <c r="AC356" i="1"/>
  <c r="AU356" i="1" s="1"/>
  <c r="AS360" i="1"/>
  <c r="AT360" i="1" s="1"/>
  <c r="AC360" i="1"/>
  <c r="AU360" i="1" s="1"/>
  <c r="AW350" i="1"/>
  <c r="AG339" i="1"/>
  <c r="AG340" i="1" s="1"/>
  <c r="AG341" i="1" s="1"/>
  <c r="AG342" i="1" s="1"/>
  <c r="AG343" i="1" s="1"/>
  <c r="AG344" i="1" s="1"/>
  <c r="AG345" i="1" s="1"/>
  <c r="AG346" i="1" s="1"/>
  <c r="AG347" i="1" s="1"/>
  <c r="AG348" i="1" s="1"/>
  <c r="AX338" i="1"/>
  <c r="AY338" i="1"/>
  <c r="AS342" i="1"/>
  <c r="AT342" i="1" s="1"/>
  <c r="AC342" i="1"/>
  <c r="AU342" i="1" s="1"/>
  <c r="AS339" i="1"/>
  <c r="AT339" i="1" s="1"/>
  <c r="AC339" i="1"/>
  <c r="AU339" i="1" s="1"/>
  <c r="AS343" i="1"/>
  <c r="AT343" i="1" s="1"/>
  <c r="AC343" i="1"/>
  <c r="AU343" i="1" s="1"/>
  <c r="AS347" i="1"/>
  <c r="AT347" i="1" s="1"/>
  <c r="AC347" i="1"/>
  <c r="AU347" i="1" s="1"/>
  <c r="AS345" i="1"/>
  <c r="AT345" i="1" s="1"/>
  <c r="AC345" i="1"/>
  <c r="AU345" i="1" s="1"/>
  <c r="AS346" i="1"/>
  <c r="AT346" i="1" s="1"/>
  <c r="AC346" i="1"/>
  <c r="AU346" i="1" s="1"/>
  <c r="AS341" i="1"/>
  <c r="AT341" i="1" s="1"/>
  <c r="AC341" i="1"/>
  <c r="AU341" i="1" s="1"/>
  <c r="AS340" i="1"/>
  <c r="AT340" i="1" s="1"/>
  <c r="AC340" i="1"/>
  <c r="AU340" i="1" s="1"/>
  <c r="AS344" i="1"/>
  <c r="AT344" i="1" s="1"/>
  <c r="AC344" i="1"/>
  <c r="AU344" i="1" s="1"/>
  <c r="AS348" i="1"/>
  <c r="AT348" i="1" s="1"/>
  <c r="AC348" i="1"/>
  <c r="AU348" i="1" s="1"/>
  <c r="AD338" i="1"/>
  <c r="AD339" i="1" s="1"/>
  <c r="AD340" i="1" s="1"/>
  <c r="AD341" i="1" s="1"/>
  <c r="AD342" i="1" s="1"/>
  <c r="AD343" i="1" s="1"/>
  <c r="AD344" i="1" s="1"/>
  <c r="AD345" i="1" s="1"/>
  <c r="AD346" i="1" s="1"/>
  <c r="AD347" i="1" s="1"/>
  <c r="AD348" i="1" s="1"/>
  <c r="AB339" i="1"/>
  <c r="AS333" i="1"/>
  <c r="AT333" i="1" s="1"/>
  <c r="AC333" i="1"/>
  <c r="AU333" i="1" s="1"/>
  <c r="AS330" i="1"/>
  <c r="AT330" i="1" s="1"/>
  <c r="AC330" i="1"/>
  <c r="AU330" i="1" s="1"/>
  <c r="AS334" i="1"/>
  <c r="AT334" i="1" s="1"/>
  <c r="AC334" i="1"/>
  <c r="AU334" i="1" s="1"/>
  <c r="AG327" i="1"/>
  <c r="AG328" i="1" s="1"/>
  <c r="AG329" i="1" s="1"/>
  <c r="AG330" i="1" s="1"/>
  <c r="AG331" i="1" s="1"/>
  <c r="AG332" i="1" s="1"/>
  <c r="AG333" i="1" s="1"/>
  <c r="AG334" i="1" s="1"/>
  <c r="AG335" i="1" s="1"/>
  <c r="AG336" i="1" s="1"/>
  <c r="AS327" i="1"/>
  <c r="AT327" i="1" s="1"/>
  <c r="AC327" i="1"/>
  <c r="AU327" i="1" s="1"/>
  <c r="AS335" i="1"/>
  <c r="AT335" i="1" s="1"/>
  <c r="AC335" i="1"/>
  <c r="AU335" i="1" s="1"/>
  <c r="AS329" i="1"/>
  <c r="AT329" i="1" s="1"/>
  <c r="AC329" i="1"/>
  <c r="AU329" i="1" s="1"/>
  <c r="AS331" i="1"/>
  <c r="AT331" i="1" s="1"/>
  <c r="AC331" i="1"/>
  <c r="AU331" i="1" s="1"/>
  <c r="AS328" i="1"/>
  <c r="AT328" i="1" s="1"/>
  <c r="AC328" i="1"/>
  <c r="AU328" i="1" s="1"/>
  <c r="AS332" i="1"/>
  <c r="AT332" i="1" s="1"/>
  <c r="AC332" i="1"/>
  <c r="AU332" i="1" s="1"/>
  <c r="AS336" i="1"/>
  <c r="AT336" i="1" s="1"/>
  <c r="AC336" i="1"/>
  <c r="AU336" i="1" s="1"/>
  <c r="AD326" i="1"/>
  <c r="AD327" i="1" s="1"/>
  <c r="AD328" i="1" s="1"/>
  <c r="AD329" i="1" s="1"/>
  <c r="AD330" i="1" s="1"/>
  <c r="AD331" i="1" s="1"/>
  <c r="AD332" i="1" s="1"/>
  <c r="AD333" i="1" s="1"/>
  <c r="AD334" i="1" s="1"/>
  <c r="AD335" i="1" s="1"/>
  <c r="AD336" i="1" s="1"/>
  <c r="AW326" i="1"/>
  <c r="AS319" i="1"/>
  <c r="AT319" i="1" s="1"/>
  <c r="AC319" i="1"/>
  <c r="AU319" i="1" s="1"/>
  <c r="AS322" i="1"/>
  <c r="AT322" i="1" s="1"/>
  <c r="AC322" i="1"/>
  <c r="AU322" i="1" s="1"/>
  <c r="AG315" i="1"/>
  <c r="AG316" i="1" s="1"/>
  <c r="AG317" i="1" s="1"/>
  <c r="AG318" i="1" s="1"/>
  <c r="AG319" i="1" s="1"/>
  <c r="AG320" i="1" s="1"/>
  <c r="AG321" i="1" s="1"/>
  <c r="AG322" i="1" s="1"/>
  <c r="AG323" i="1" s="1"/>
  <c r="AG324" i="1" s="1"/>
  <c r="AS317" i="1"/>
  <c r="AT317" i="1" s="1"/>
  <c r="AC317" i="1"/>
  <c r="AU317" i="1" s="1"/>
  <c r="AS320" i="1"/>
  <c r="AT320" i="1" s="1"/>
  <c r="AC320" i="1"/>
  <c r="AU320" i="1" s="1"/>
  <c r="AS323" i="1"/>
  <c r="AT323" i="1" s="1"/>
  <c r="AC323" i="1"/>
  <c r="AU323" i="1" s="1"/>
  <c r="AS315" i="1"/>
  <c r="AT315" i="1" s="1"/>
  <c r="AC315" i="1"/>
  <c r="AU315" i="1" s="1"/>
  <c r="AS318" i="1"/>
  <c r="AT318" i="1" s="1"/>
  <c r="AC318" i="1"/>
  <c r="AU318" i="1" s="1"/>
  <c r="AS321" i="1"/>
  <c r="AT321" i="1" s="1"/>
  <c r="AC321" i="1"/>
  <c r="AU321" i="1" s="1"/>
  <c r="AS316" i="1"/>
  <c r="AT316" i="1" s="1"/>
  <c r="AC316" i="1"/>
  <c r="AU316" i="1" s="1"/>
  <c r="AS324" i="1"/>
  <c r="AT324" i="1" s="1"/>
  <c r="AC324" i="1"/>
  <c r="AU324" i="1" s="1"/>
  <c r="AD314" i="1"/>
  <c r="AD315" i="1" s="1"/>
  <c r="AD316" i="1" s="1"/>
  <c r="AD317" i="1" s="1"/>
  <c r="AD318" i="1" s="1"/>
  <c r="AD319" i="1" s="1"/>
  <c r="AD320" i="1" s="1"/>
  <c r="AD321" i="1" s="1"/>
  <c r="AD322" i="1" s="1"/>
  <c r="AD323" i="1" s="1"/>
  <c r="AD324" i="1" s="1"/>
  <c r="AW314" i="1"/>
  <c r="AS305" i="1"/>
  <c r="AT305" i="1" s="1"/>
  <c r="AC305" i="1"/>
  <c r="AU305" i="1" s="1"/>
  <c r="AS309" i="1"/>
  <c r="AT309" i="1" s="1"/>
  <c r="AC309" i="1"/>
  <c r="AU309" i="1" s="1"/>
  <c r="AG303" i="1"/>
  <c r="AG304" i="1" s="1"/>
  <c r="AG305" i="1" s="1"/>
  <c r="AG306" i="1" s="1"/>
  <c r="AG307" i="1" s="1"/>
  <c r="AG308" i="1" s="1"/>
  <c r="AG309" i="1" s="1"/>
  <c r="AG310" i="1" s="1"/>
  <c r="AG311" i="1" s="1"/>
  <c r="AG312" i="1" s="1"/>
  <c r="AS306" i="1"/>
  <c r="AT306" i="1" s="1"/>
  <c r="AC306" i="1"/>
  <c r="AU306" i="1" s="1"/>
  <c r="AS303" i="1"/>
  <c r="AT303" i="1" s="1"/>
  <c r="AC303" i="1"/>
  <c r="AU303" i="1" s="1"/>
  <c r="AS307" i="1"/>
  <c r="AT307" i="1" s="1"/>
  <c r="AC307" i="1"/>
  <c r="AU307" i="1" s="1"/>
  <c r="AS311" i="1"/>
  <c r="AT311" i="1" s="1"/>
  <c r="AC311" i="1"/>
  <c r="AU311" i="1" s="1"/>
  <c r="AS310" i="1"/>
  <c r="AT310" i="1" s="1"/>
  <c r="AC310" i="1"/>
  <c r="AU310" i="1" s="1"/>
  <c r="AS304" i="1"/>
  <c r="AT304" i="1" s="1"/>
  <c r="AC304" i="1"/>
  <c r="AU304" i="1" s="1"/>
  <c r="AS308" i="1"/>
  <c r="AT308" i="1" s="1"/>
  <c r="AC308" i="1"/>
  <c r="AU308" i="1" s="1"/>
  <c r="AS312" i="1"/>
  <c r="AT312" i="1" s="1"/>
  <c r="AC312" i="1"/>
  <c r="AU312" i="1" s="1"/>
  <c r="AD302" i="1"/>
  <c r="AD303" i="1" s="1"/>
  <c r="AD304" i="1" s="1"/>
  <c r="AD305" i="1" s="1"/>
  <c r="AD306" i="1" s="1"/>
  <c r="AD307" i="1" s="1"/>
  <c r="AD308" i="1" s="1"/>
  <c r="AD309" i="1" s="1"/>
  <c r="AD310" i="1" s="1"/>
  <c r="AD311" i="1" s="1"/>
  <c r="AD312" i="1" s="1"/>
  <c r="AW302" i="1"/>
  <c r="AG291" i="1"/>
  <c r="AG292" i="1" s="1"/>
  <c r="AG293" i="1" s="1"/>
  <c r="AG294" i="1" s="1"/>
  <c r="AG295" i="1" s="1"/>
  <c r="AG296" i="1" s="1"/>
  <c r="AG297" i="1" s="1"/>
  <c r="AG298" i="1" s="1"/>
  <c r="AG299" i="1" s="1"/>
  <c r="AG300" i="1" s="1"/>
  <c r="AS294" i="1"/>
  <c r="AT294" i="1" s="1"/>
  <c r="AC294" i="1"/>
  <c r="AU294" i="1" s="1"/>
  <c r="AS298" i="1"/>
  <c r="AT298" i="1" s="1"/>
  <c r="AC298" i="1"/>
  <c r="AU298" i="1" s="1"/>
  <c r="AS293" i="1"/>
  <c r="AT293" i="1" s="1"/>
  <c r="AC293" i="1"/>
  <c r="AU293" i="1" s="1"/>
  <c r="AS291" i="1"/>
  <c r="AT291" i="1" s="1"/>
  <c r="AC291" i="1"/>
  <c r="AU291" i="1" s="1"/>
  <c r="AS295" i="1"/>
  <c r="AT295" i="1" s="1"/>
  <c r="AC295" i="1"/>
  <c r="AU295" i="1" s="1"/>
  <c r="AS299" i="1"/>
  <c r="AT299" i="1" s="1"/>
  <c r="AC299" i="1"/>
  <c r="AU299" i="1" s="1"/>
  <c r="AS297" i="1"/>
  <c r="AT297" i="1" s="1"/>
  <c r="AC297" i="1"/>
  <c r="AU297" i="1" s="1"/>
  <c r="AS292" i="1"/>
  <c r="AT292" i="1" s="1"/>
  <c r="AC292" i="1"/>
  <c r="AU292" i="1" s="1"/>
  <c r="AS296" i="1"/>
  <c r="AT296" i="1" s="1"/>
  <c r="AC296" i="1"/>
  <c r="AU296" i="1" s="1"/>
  <c r="AS300" i="1"/>
  <c r="AT300" i="1" s="1"/>
  <c r="AC300" i="1"/>
  <c r="AU300" i="1" s="1"/>
  <c r="AD290" i="1"/>
  <c r="AD291" i="1" s="1"/>
  <c r="AD292" i="1" s="1"/>
  <c r="AD293" i="1" s="1"/>
  <c r="AD294" i="1" s="1"/>
  <c r="AD295" i="1" s="1"/>
  <c r="AD296" i="1" s="1"/>
  <c r="AD297" i="1" s="1"/>
  <c r="AD298" i="1" s="1"/>
  <c r="AD299" i="1" s="1"/>
  <c r="AD300" i="1" s="1"/>
  <c r="AW290" i="1"/>
  <c r="AC281" i="1"/>
  <c r="AU281" i="1" s="1"/>
  <c r="AS281" i="1"/>
  <c r="AT281" i="1" s="1"/>
  <c r="AS282" i="1"/>
  <c r="AT282" i="1" s="1"/>
  <c r="AC282" i="1"/>
  <c r="AU282" i="1" s="1"/>
  <c r="AC286" i="1"/>
  <c r="AU286" i="1" s="1"/>
  <c r="AS286" i="1"/>
  <c r="AT286" i="1" s="1"/>
  <c r="AS285" i="1"/>
  <c r="AT285" i="1" s="1"/>
  <c r="AC285" i="1"/>
  <c r="AU285" i="1" s="1"/>
  <c r="AC279" i="1"/>
  <c r="AU279" i="1" s="1"/>
  <c r="AS279" i="1"/>
  <c r="AT279" i="1" s="1"/>
  <c r="AS287" i="1"/>
  <c r="AT287" i="1" s="1"/>
  <c r="AC287" i="1"/>
  <c r="AU287" i="1" s="1"/>
  <c r="AL278" i="1"/>
  <c r="AG279" i="1"/>
  <c r="AG280" i="1" s="1"/>
  <c r="AG281" i="1" s="1"/>
  <c r="AG282" i="1" s="1"/>
  <c r="AG283" i="1" s="1"/>
  <c r="AG284" i="1" s="1"/>
  <c r="AG285" i="1" s="1"/>
  <c r="AG286" i="1" s="1"/>
  <c r="AG287" i="1" s="1"/>
  <c r="AG288" i="1" s="1"/>
  <c r="AS283" i="1"/>
  <c r="AT283" i="1" s="1"/>
  <c r="AC283" i="1"/>
  <c r="AU283" i="1" s="1"/>
  <c r="AC280" i="1"/>
  <c r="AU280" i="1" s="1"/>
  <c r="AS280" i="1"/>
  <c r="AT280" i="1" s="1"/>
  <c r="AS284" i="1"/>
  <c r="AT284" i="1" s="1"/>
  <c r="AC284" i="1"/>
  <c r="AU284" i="1" s="1"/>
  <c r="AS288" i="1"/>
  <c r="AT288" i="1" s="1"/>
  <c r="AC288" i="1"/>
  <c r="AU288" i="1" s="1"/>
  <c r="AW278" i="1"/>
  <c r="AS269" i="1"/>
  <c r="AT269" i="1" s="1"/>
  <c r="AC269" i="1"/>
  <c r="AU269" i="1" s="1"/>
  <c r="AC273" i="1"/>
  <c r="AU273" i="1" s="1"/>
  <c r="AS273" i="1"/>
  <c r="AT273" i="1" s="1"/>
  <c r="AL267" i="1"/>
  <c r="AR266" i="1"/>
  <c r="AS270" i="1"/>
  <c r="AT270" i="1" s="1"/>
  <c r="AC270" i="1"/>
  <c r="AU270" i="1" s="1"/>
  <c r="AS274" i="1"/>
  <c r="AT274" i="1" s="1"/>
  <c r="AC274" i="1"/>
  <c r="AU274" i="1" s="1"/>
  <c r="AC267" i="1"/>
  <c r="AU267" i="1" s="1"/>
  <c r="AS267" i="1"/>
  <c r="AT267" i="1" s="1"/>
  <c r="AC271" i="1"/>
  <c r="AU271" i="1" s="1"/>
  <c r="AS271" i="1"/>
  <c r="AT271" i="1" s="1"/>
  <c r="AS275" i="1"/>
  <c r="AT275" i="1" s="1"/>
  <c r="AC275" i="1"/>
  <c r="AU275" i="1" s="1"/>
  <c r="AC268" i="1"/>
  <c r="AU268" i="1" s="1"/>
  <c r="AS268" i="1"/>
  <c r="AT268" i="1" s="1"/>
  <c r="AC272" i="1"/>
  <c r="AU272" i="1" s="1"/>
  <c r="AS272" i="1"/>
  <c r="AT272" i="1" s="1"/>
  <c r="AC276" i="1"/>
  <c r="AU276" i="1" s="1"/>
  <c r="AS276" i="1"/>
  <c r="AT276" i="1" s="1"/>
  <c r="AG267" i="1"/>
  <c r="AG268" i="1" s="1"/>
  <c r="AG269" i="1" s="1"/>
  <c r="AG270" i="1" s="1"/>
  <c r="AG271" i="1" s="1"/>
  <c r="AG272" i="1" s="1"/>
  <c r="AG273" i="1" s="1"/>
  <c r="AG274" i="1" s="1"/>
  <c r="AG275" i="1" s="1"/>
  <c r="AG276" i="1" s="1"/>
  <c r="AW266" i="1"/>
  <c r="AC255" i="1"/>
  <c r="AU255" i="1" s="1"/>
  <c r="AS255" i="1"/>
  <c r="AT255" i="1" s="1"/>
  <c r="AS259" i="1"/>
  <c r="AT259" i="1" s="1"/>
  <c r="AC259" i="1"/>
  <c r="AU259" i="1" s="1"/>
  <c r="AC263" i="1"/>
  <c r="AU263" i="1" s="1"/>
  <c r="AS263" i="1"/>
  <c r="AT263" i="1" s="1"/>
  <c r="AC257" i="1"/>
  <c r="AU257" i="1" s="1"/>
  <c r="AS257" i="1"/>
  <c r="AT257" i="1" s="1"/>
  <c r="AS262" i="1"/>
  <c r="AT262" i="1" s="1"/>
  <c r="AC262" i="1"/>
  <c r="AU262" i="1" s="1"/>
  <c r="AS261" i="1"/>
  <c r="AT261" i="1" s="1"/>
  <c r="AC261" i="1"/>
  <c r="AU261" i="1" s="1"/>
  <c r="AL254" i="1"/>
  <c r="AG255" i="1"/>
  <c r="AG256" i="1" s="1"/>
  <c r="AG257" i="1" s="1"/>
  <c r="AG258" i="1" s="1"/>
  <c r="AG259" i="1" s="1"/>
  <c r="AG260" i="1" s="1"/>
  <c r="AG261" i="1" s="1"/>
  <c r="AG262" i="1" s="1"/>
  <c r="AG263" i="1" s="1"/>
  <c r="AG264" i="1" s="1"/>
  <c r="AC258" i="1"/>
  <c r="AU258" i="1" s="1"/>
  <c r="AS258" i="1"/>
  <c r="AT258" i="1" s="1"/>
  <c r="AC256" i="1"/>
  <c r="AU256" i="1" s="1"/>
  <c r="AS256" i="1"/>
  <c r="AT256" i="1" s="1"/>
  <c r="AC260" i="1"/>
  <c r="AU260" i="1" s="1"/>
  <c r="AS260" i="1"/>
  <c r="AT260" i="1" s="1"/>
  <c r="AS264" i="1"/>
  <c r="AT264" i="1" s="1"/>
  <c r="AC264" i="1"/>
  <c r="AU264" i="1" s="1"/>
  <c r="AW254" i="1"/>
  <c r="AS249" i="1"/>
  <c r="AT249" i="1" s="1"/>
  <c r="AC249" i="1"/>
  <c r="AU249" i="1" s="1"/>
  <c r="AS246" i="1"/>
  <c r="AT246" i="1" s="1"/>
  <c r="AC246" i="1"/>
  <c r="AU246" i="1" s="1"/>
  <c r="AL242" i="1"/>
  <c r="AG243" i="1"/>
  <c r="AG244" i="1" s="1"/>
  <c r="AG245" i="1" s="1"/>
  <c r="AG246" i="1" s="1"/>
  <c r="AG247" i="1" s="1"/>
  <c r="AG248" i="1" s="1"/>
  <c r="AG249" i="1" s="1"/>
  <c r="AG250" i="1" s="1"/>
  <c r="AG251" i="1" s="1"/>
  <c r="AG252" i="1" s="1"/>
  <c r="AS243" i="1"/>
  <c r="AT243" i="1" s="1"/>
  <c r="AC243" i="1"/>
  <c r="AU243" i="1" s="1"/>
  <c r="AS247" i="1"/>
  <c r="AT247" i="1" s="1"/>
  <c r="AC247" i="1"/>
  <c r="AU247" i="1" s="1"/>
  <c r="AS251" i="1"/>
  <c r="AT251" i="1" s="1"/>
  <c r="AC251" i="1"/>
  <c r="AU251" i="1" s="1"/>
  <c r="AS245" i="1"/>
  <c r="AT245" i="1" s="1"/>
  <c r="AC245" i="1"/>
  <c r="AU245" i="1" s="1"/>
  <c r="AS250" i="1"/>
  <c r="AT250" i="1" s="1"/>
  <c r="AC250" i="1"/>
  <c r="AU250" i="1" s="1"/>
  <c r="AS244" i="1"/>
  <c r="AT244" i="1" s="1"/>
  <c r="AC244" i="1"/>
  <c r="AU244" i="1" s="1"/>
  <c r="AS248" i="1"/>
  <c r="AT248" i="1" s="1"/>
  <c r="AC248" i="1"/>
  <c r="AU248" i="1" s="1"/>
  <c r="AS252" i="1"/>
  <c r="AT252" i="1" s="1"/>
  <c r="AC252" i="1"/>
  <c r="AU252" i="1" s="1"/>
  <c r="AD242" i="1"/>
  <c r="AD243" i="1" s="1"/>
  <c r="AD244" i="1" s="1"/>
  <c r="AD245" i="1" s="1"/>
  <c r="AD246" i="1" s="1"/>
  <c r="AD247" i="1" s="1"/>
  <c r="AD248" i="1" s="1"/>
  <c r="AD249" i="1" s="1"/>
  <c r="AD250" i="1" s="1"/>
  <c r="AD251" i="1" s="1"/>
  <c r="AD252" i="1" s="1"/>
  <c r="AW242" i="1"/>
  <c r="AS237" i="1"/>
  <c r="AT237" i="1" s="1"/>
  <c r="AC237" i="1"/>
  <c r="AU237" i="1" s="1"/>
  <c r="AS234" i="1"/>
  <c r="AT234" i="1" s="1"/>
  <c r="AC234" i="1"/>
  <c r="AU234" i="1" s="1"/>
  <c r="AS238" i="1"/>
  <c r="AT238" i="1" s="1"/>
  <c r="AC238" i="1"/>
  <c r="AU238" i="1" s="1"/>
  <c r="AS233" i="1"/>
  <c r="AT233" i="1" s="1"/>
  <c r="AC233" i="1"/>
  <c r="AU233" i="1" s="1"/>
  <c r="AL230" i="1"/>
  <c r="AG231" i="1"/>
  <c r="AG232" i="1" s="1"/>
  <c r="AG233" i="1" s="1"/>
  <c r="AG234" i="1" s="1"/>
  <c r="AG235" i="1" s="1"/>
  <c r="AG236" i="1" s="1"/>
  <c r="AG237" i="1" s="1"/>
  <c r="AG238" i="1" s="1"/>
  <c r="AG239" i="1" s="1"/>
  <c r="AG240" i="1" s="1"/>
  <c r="AC235" i="1"/>
  <c r="AU235" i="1" s="1"/>
  <c r="AS235" i="1"/>
  <c r="AT235" i="1" s="1"/>
  <c r="AS231" i="1"/>
  <c r="AT231" i="1" s="1"/>
  <c r="AC231" i="1"/>
  <c r="AU231" i="1" s="1"/>
  <c r="AS239" i="1"/>
  <c r="AT239" i="1" s="1"/>
  <c r="AC239" i="1"/>
  <c r="AU239" i="1" s="1"/>
  <c r="AS232" i="1"/>
  <c r="AT232" i="1" s="1"/>
  <c r="AC232" i="1"/>
  <c r="AU232" i="1" s="1"/>
  <c r="AS236" i="1"/>
  <c r="AT236" i="1" s="1"/>
  <c r="AC236" i="1"/>
  <c r="AU236" i="1" s="1"/>
  <c r="AS240" i="1"/>
  <c r="AT240" i="1" s="1"/>
  <c r="AC240" i="1"/>
  <c r="AU240" i="1" s="1"/>
  <c r="AW230" i="1"/>
  <c r="AC221" i="1"/>
  <c r="AU221" i="1" s="1"/>
  <c r="AS221" i="1"/>
  <c r="AT221" i="1" s="1"/>
  <c r="AL218" i="1"/>
  <c r="AG219" i="1"/>
  <c r="AG220" i="1" s="1"/>
  <c r="AG221" i="1" s="1"/>
  <c r="AG222" i="1" s="1"/>
  <c r="AG223" i="1" s="1"/>
  <c r="AG224" i="1" s="1"/>
  <c r="AG225" i="1" s="1"/>
  <c r="AG226" i="1" s="1"/>
  <c r="AG227" i="1" s="1"/>
  <c r="AG228" i="1" s="1"/>
  <c r="AS222" i="1"/>
  <c r="AT222" i="1" s="1"/>
  <c r="AC222" i="1"/>
  <c r="AU222" i="1" s="1"/>
  <c r="AS226" i="1"/>
  <c r="AT226" i="1" s="1"/>
  <c r="AC226" i="1"/>
  <c r="AU226" i="1" s="1"/>
  <c r="AC219" i="1"/>
  <c r="AU219" i="1" s="1"/>
  <c r="AS219" i="1"/>
  <c r="AT219" i="1" s="1"/>
  <c r="AS223" i="1"/>
  <c r="AT223" i="1" s="1"/>
  <c r="AC223" i="1"/>
  <c r="AU223" i="1" s="1"/>
  <c r="AS227" i="1"/>
  <c r="AT227" i="1" s="1"/>
  <c r="AC227" i="1"/>
  <c r="AU227" i="1" s="1"/>
  <c r="AS225" i="1"/>
  <c r="AT225" i="1" s="1"/>
  <c r="AC225" i="1"/>
  <c r="AU225" i="1" s="1"/>
  <c r="AC220" i="1"/>
  <c r="AU220" i="1" s="1"/>
  <c r="AS220" i="1"/>
  <c r="AT220" i="1" s="1"/>
  <c r="AC224" i="1"/>
  <c r="AU224" i="1" s="1"/>
  <c r="AS224" i="1"/>
  <c r="AT224" i="1" s="1"/>
  <c r="AS228" i="1"/>
  <c r="AT228" i="1" s="1"/>
  <c r="AC228" i="1"/>
  <c r="AU228" i="1" s="1"/>
  <c r="AW218" i="1"/>
  <c r="AS209" i="1"/>
  <c r="AT209" i="1" s="1"/>
  <c r="AC209" i="1"/>
  <c r="AU209" i="1" s="1"/>
  <c r="AS210" i="1"/>
  <c r="AT210" i="1" s="1"/>
  <c r="AC210" i="1"/>
  <c r="AU210" i="1" s="1"/>
  <c r="AL206" i="1"/>
  <c r="AG207" i="1"/>
  <c r="AG208" i="1" s="1"/>
  <c r="AG209" i="1" s="1"/>
  <c r="AG210" i="1" s="1"/>
  <c r="AG211" i="1" s="1"/>
  <c r="AG212" i="1" s="1"/>
  <c r="AG213" i="1" s="1"/>
  <c r="AG214" i="1" s="1"/>
  <c r="AG215" i="1" s="1"/>
  <c r="AG216" i="1" s="1"/>
  <c r="AS213" i="1"/>
  <c r="AT213" i="1" s="1"/>
  <c r="AC213" i="1"/>
  <c r="AU213" i="1" s="1"/>
  <c r="AS212" i="1"/>
  <c r="AT212" i="1" s="1"/>
  <c r="AC212" i="1"/>
  <c r="AU212" i="1" s="1"/>
  <c r="AS214" i="1"/>
  <c r="AT214" i="1" s="1"/>
  <c r="AC214" i="1"/>
  <c r="AU214" i="1" s="1"/>
  <c r="AS207" i="1"/>
  <c r="AT207" i="1" s="1"/>
  <c r="AC207" i="1"/>
  <c r="AU207" i="1" s="1"/>
  <c r="AS215" i="1"/>
  <c r="AT215" i="1" s="1"/>
  <c r="AC215" i="1"/>
  <c r="AU215" i="1" s="1"/>
  <c r="AS211" i="1"/>
  <c r="AT211" i="1" s="1"/>
  <c r="AC211" i="1"/>
  <c r="AU211" i="1" s="1"/>
  <c r="AS208" i="1"/>
  <c r="AT208" i="1" s="1"/>
  <c r="AC208" i="1"/>
  <c r="AU208" i="1" s="1"/>
  <c r="AS216" i="1"/>
  <c r="AT216" i="1" s="1"/>
  <c r="AC216" i="1"/>
  <c r="AU216" i="1" s="1"/>
  <c r="AB207" i="1"/>
  <c r="AB208" i="1"/>
  <c r="AB209" i="1"/>
  <c r="AB210" i="1"/>
  <c r="AB211" i="1"/>
  <c r="AB212" i="1"/>
  <c r="AB213" i="1"/>
  <c r="AB214" i="1"/>
  <c r="AB215" i="1"/>
  <c r="AB216" i="1"/>
  <c r="AD206" i="1"/>
  <c r="AD207" i="1" s="1"/>
  <c r="AD208" i="1" s="1"/>
  <c r="AD209" i="1" s="1"/>
  <c r="AD210" i="1" s="1"/>
  <c r="AD211" i="1" s="1"/>
  <c r="AD212" i="1" s="1"/>
  <c r="AD213" i="1" s="1"/>
  <c r="AD214" i="1" s="1"/>
  <c r="AD215" i="1" s="1"/>
  <c r="AD216" i="1" s="1"/>
  <c r="AW206" i="1"/>
  <c r="AL194" i="1"/>
  <c r="AG195" i="1"/>
  <c r="AG196" i="1" s="1"/>
  <c r="AG197" i="1" s="1"/>
  <c r="AG198" i="1" s="1"/>
  <c r="AG199" i="1" s="1"/>
  <c r="AG200" i="1" s="1"/>
  <c r="AG201" i="1" s="1"/>
  <c r="AG202" i="1" s="1"/>
  <c r="AG203" i="1" s="1"/>
  <c r="AG204" i="1" s="1"/>
  <c r="AS198" i="1"/>
  <c r="AT198" i="1" s="1"/>
  <c r="AC198" i="1"/>
  <c r="AU198" i="1" s="1"/>
  <c r="AS202" i="1"/>
  <c r="AT202" i="1" s="1"/>
  <c r="AC202" i="1"/>
  <c r="AU202" i="1" s="1"/>
  <c r="AS197" i="1"/>
  <c r="AT197" i="1" s="1"/>
  <c r="AC197" i="1"/>
  <c r="AU197" i="1" s="1"/>
  <c r="AS195" i="1"/>
  <c r="AT195" i="1" s="1"/>
  <c r="AC195" i="1"/>
  <c r="AU195" i="1" s="1"/>
  <c r="AS199" i="1"/>
  <c r="AT199" i="1" s="1"/>
  <c r="AC199" i="1"/>
  <c r="AU199" i="1" s="1"/>
  <c r="AS203" i="1"/>
  <c r="AT203" i="1" s="1"/>
  <c r="AC203" i="1"/>
  <c r="AU203" i="1" s="1"/>
  <c r="AS201" i="1"/>
  <c r="AT201" i="1" s="1"/>
  <c r="AC201" i="1"/>
  <c r="AU201" i="1" s="1"/>
  <c r="AS196" i="1"/>
  <c r="AT196" i="1" s="1"/>
  <c r="AC196" i="1"/>
  <c r="AU196" i="1" s="1"/>
  <c r="AS200" i="1"/>
  <c r="AT200" i="1" s="1"/>
  <c r="AC200" i="1"/>
  <c r="AU200" i="1" s="1"/>
  <c r="AS204" i="1"/>
  <c r="AT204" i="1" s="1"/>
  <c r="AC204" i="1"/>
  <c r="AU204" i="1" s="1"/>
  <c r="AD194" i="1"/>
  <c r="AD195" i="1" s="1"/>
  <c r="AD196" i="1" s="1"/>
  <c r="AD197" i="1" s="1"/>
  <c r="AD198" i="1" s="1"/>
  <c r="AD199" i="1" s="1"/>
  <c r="AD200" i="1" s="1"/>
  <c r="AD201" i="1" s="1"/>
  <c r="AD202" i="1" s="1"/>
  <c r="AD203" i="1" s="1"/>
  <c r="AD204" i="1" s="1"/>
  <c r="AW194" i="1"/>
  <c r="AC186" i="1"/>
  <c r="AU186" i="1" s="1"/>
  <c r="AS186" i="1"/>
  <c r="AT186" i="1" s="1"/>
  <c r="AS183" i="1"/>
  <c r="AT183" i="1" s="1"/>
  <c r="AC183" i="1"/>
  <c r="AU183" i="1" s="1"/>
  <c r="AC191" i="1"/>
  <c r="AU191" i="1" s="1"/>
  <c r="AS191" i="1"/>
  <c r="AT191" i="1" s="1"/>
  <c r="AC185" i="1"/>
  <c r="AU185" i="1" s="1"/>
  <c r="AS185" i="1"/>
  <c r="AT185" i="1" s="1"/>
  <c r="AS187" i="1"/>
  <c r="AT187" i="1" s="1"/>
  <c r="AC187" i="1"/>
  <c r="AU187" i="1" s="1"/>
  <c r="AS189" i="1"/>
  <c r="AT189" i="1" s="1"/>
  <c r="AC189" i="1"/>
  <c r="AU189" i="1" s="1"/>
  <c r="AS190" i="1"/>
  <c r="AT190" i="1" s="1"/>
  <c r="AC190" i="1"/>
  <c r="AU190" i="1" s="1"/>
  <c r="AC184" i="1"/>
  <c r="AU184" i="1" s="1"/>
  <c r="AS184" i="1"/>
  <c r="AT184" i="1" s="1"/>
  <c r="AC188" i="1"/>
  <c r="AU188" i="1" s="1"/>
  <c r="AS188" i="1"/>
  <c r="AT188" i="1" s="1"/>
  <c r="AC192" i="1"/>
  <c r="AU192" i="1" s="1"/>
  <c r="AS192" i="1"/>
  <c r="AT192" i="1" s="1"/>
  <c r="AW182" i="1"/>
  <c r="AS177" i="1"/>
  <c r="AT177" i="1" s="1"/>
  <c r="AC177" i="1"/>
  <c r="AU177" i="1" s="1"/>
  <c r="AL170" i="1"/>
  <c r="AG171" i="1"/>
  <c r="AG172" i="1" s="1"/>
  <c r="AG173" i="1" s="1"/>
  <c r="AG174" i="1" s="1"/>
  <c r="AG175" i="1" s="1"/>
  <c r="AG176" i="1" s="1"/>
  <c r="AG177" i="1" s="1"/>
  <c r="AG178" i="1" s="1"/>
  <c r="AG179" i="1" s="1"/>
  <c r="AG180" i="1" s="1"/>
  <c r="AC174" i="1"/>
  <c r="AU174" i="1" s="1"/>
  <c r="AS174" i="1"/>
  <c r="AT174" i="1" s="1"/>
  <c r="AS178" i="1"/>
  <c r="AT178" i="1" s="1"/>
  <c r="AC178" i="1"/>
  <c r="AU178" i="1" s="1"/>
  <c r="AC173" i="1"/>
  <c r="AU173" i="1" s="1"/>
  <c r="AS173" i="1"/>
  <c r="AT173" i="1" s="1"/>
  <c r="AS171" i="1"/>
  <c r="AT171" i="1" s="1"/>
  <c r="AC171" i="1"/>
  <c r="AU171" i="1" s="1"/>
  <c r="AC175" i="1"/>
  <c r="AU175" i="1" s="1"/>
  <c r="AS175" i="1"/>
  <c r="AT175" i="1" s="1"/>
  <c r="AC179" i="1"/>
  <c r="AU179" i="1" s="1"/>
  <c r="AS179" i="1"/>
  <c r="AT179" i="1" s="1"/>
  <c r="AC172" i="1"/>
  <c r="AU172" i="1" s="1"/>
  <c r="AS172" i="1"/>
  <c r="AT172" i="1" s="1"/>
  <c r="AS176" i="1"/>
  <c r="AT176" i="1" s="1"/>
  <c r="AC176" i="1"/>
  <c r="AU176" i="1" s="1"/>
  <c r="AS180" i="1"/>
  <c r="AT180" i="1" s="1"/>
  <c r="AC180" i="1"/>
  <c r="AU180" i="1" s="1"/>
  <c r="AW170" i="1"/>
  <c r="AS165" i="1"/>
  <c r="AT165" i="1" s="1"/>
  <c r="AC165" i="1"/>
  <c r="AU165" i="1" s="1"/>
  <c r="AC159" i="1"/>
  <c r="AU159" i="1" s="1"/>
  <c r="AS159" i="1"/>
  <c r="AT159" i="1" s="1"/>
  <c r="AC161" i="1"/>
  <c r="AU161" i="1" s="1"/>
  <c r="AS161" i="1"/>
  <c r="AT161" i="1" s="1"/>
  <c r="AC166" i="1"/>
  <c r="AU166" i="1" s="1"/>
  <c r="AS166" i="1"/>
  <c r="AT166" i="1" s="1"/>
  <c r="AS167" i="1"/>
  <c r="AT167" i="1" s="1"/>
  <c r="AC167" i="1"/>
  <c r="AU167" i="1" s="1"/>
  <c r="AG159" i="1"/>
  <c r="AG160" i="1" s="1"/>
  <c r="AG161" i="1" s="1"/>
  <c r="AG162" i="1" s="1"/>
  <c r="AG163" i="1" s="1"/>
  <c r="AG164" i="1" s="1"/>
  <c r="AG165" i="1" s="1"/>
  <c r="AG166" i="1" s="1"/>
  <c r="AG167" i="1" s="1"/>
  <c r="AG168" i="1" s="1"/>
  <c r="AC162" i="1"/>
  <c r="AU162" i="1" s="1"/>
  <c r="AS162" i="1"/>
  <c r="AT162" i="1" s="1"/>
  <c r="AS163" i="1"/>
  <c r="AT163" i="1" s="1"/>
  <c r="AC163" i="1"/>
  <c r="AU163" i="1" s="1"/>
  <c r="AC160" i="1"/>
  <c r="AU160" i="1" s="1"/>
  <c r="AS160" i="1"/>
  <c r="AT160" i="1" s="1"/>
  <c r="AS164" i="1"/>
  <c r="AT164" i="1" s="1"/>
  <c r="AC164" i="1"/>
  <c r="AU164" i="1" s="1"/>
  <c r="AC168" i="1"/>
  <c r="AU168" i="1" s="1"/>
  <c r="AS168" i="1"/>
  <c r="AT168" i="1" s="1"/>
  <c r="AW158" i="1"/>
  <c r="AS153" i="1"/>
  <c r="AT153" i="1" s="1"/>
  <c r="AC153" i="1"/>
  <c r="AU153" i="1" s="1"/>
  <c r="AC154" i="1"/>
  <c r="AU154" i="1" s="1"/>
  <c r="AS154" i="1"/>
  <c r="AT154" i="1" s="1"/>
  <c r="AS147" i="1"/>
  <c r="AT147" i="1" s="1"/>
  <c r="AC147" i="1"/>
  <c r="AU147" i="1" s="1"/>
  <c r="AC151" i="1"/>
  <c r="AU151" i="1" s="1"/>
  <c r="AS151" i="1"/>
  <c r="AT151" i="1" s="1"/>
  <c r="AS155" i="1"/>
  <c r="AT155" i="1" s="1"/>
  <c r="AC155" i="1"/>
  <c r="AU155" i="1" s="1"/>
  <c r="AS149" i="1"/>
  <c r="AT149" i="1" s="1"/>
  <c r="AC149" i="1"/>
  <c r="AU149" i="1" s="1"/>
  <c r="AG147" i="1"/>
  <c r="AG148" i="1" s="1"/>
  <c r="AG149" i="1" s="1"/>
  <c r="AG150" i="1" s="1"/>
  <c r="AG151" i="1" s="1"/>
  <c r="AG152" i="1" s="1"/>
  <c r="AG153" i="1" s="1"/>
  <c r="AG154" i="1" s="1"/>
  <c r="AG155" i="1" s="1"/>
  <c r="AG156" i="1" s="1"/>
  <c r="AS150" i="1"/>
  <c r="AT150" i="1" s="1"/>
  <c r="AC150" i="1"/>
  <c r="AU150" i="1" s="1"/>
  <c r="AS148" i="1"/>
  <c r="AT148" i="1" s="1"/>
  <c r="AC148" i="1"/>
  <c r="AU148" i="1" s="1"/>
  <c r="AC152" i="1"/>
  <c r="AU152" i="1" s="1"/>
  <c r="AS152" i="1"/>
  <c r="AT152" i="1" s="1"/>
  <c r="AS156" i="1"/>
  <c r="AT156" i="1" s="1"/>
  <c r="AC156" i="1"/>
  <c r="AU156" i="1" s="1"/>
  <c r="AW146" i="1"/>
  <c r="AS138" i="1"/>
  <c r="AT138" i="1" s="1"/>
  <c r="AC138" i="1"/>
  <c r="AU138" i="1" s="1"/>
  <c r="AS142" i="1"/>
  <c r="AT142" i="1" s="1"/>
  <c r="AC142" i="1"/>
  <c r="AU142" i="1" s="1"/>
  <c r="AS137" i="1"/>
  <c r="AT137" i="1" s="1"/>
  <c r="AC137" i="1"/>
  <c r="AU137" i="1" s="1"/>
  <c r="AS135" i="1"/>
  <c r="AT135" i="1" s="1"/>
  <c r="AC135" i="1"/>
  <c r="AU135" i="1" s="1"/>
  <c r="AS139" i="1"/>
  <c r="AT139" i="1" s="1"/>
  <c r="AC139" i="1"/>
  <c r="AU139" i="1" s="1"/>
  <c r="AS143" i="1"/>
  <c r="AT143" i="1" s="1"/>
  <c r="AC143" i="1"/>
  <c r="AU143" i="1" s="1"/>
  <c r="AS141" i="1"/>
  <c r="AT141" i="1" s="1"/>
  <c r="AC141" i="1"/>
  <c r="AU141" i="1" s="1"/>
  <c r="AS136" i="1"/>
  <c r="AT136" i="1" s="1"/>
  <c r="AC136" i="1"/>
  <c r="AU136" i="1" s="1"/>
  <c r="AS140" i="1"/>
  <c r="AT140" i="1" s="1"/>
  <c r="AC140" i="1"/>
  <c r="AU140" i="1" s="1"/>
  <c r="AS144" i="1"/>
  <c r="AT144" i="1" s="1"/>
  <c r="AC144" i="1"/>
  <c r="AU144" i="1" s="1"/>
  <c r="AD134" i="1"/>
  <c r="AD135" i="1" s="1"/>
  <c r="AD136" i="1" s="1"/>
  <c r="AD137" i="1" s="1"/>
  <c r="AD138" i="1" s="1"/>
  <c r="AD139" i="1" s="1"/>
  <c r="AD140" i="1" s="1"/>
  <c r="AD141" i="1" s="1"/>
  <c r="AD142" i="1" s="1"/>
  <c r="AD143" i="1" s="1"/>
  <c r="AD144" i="1" s="1"/>
  <c r="AW134" i="1"/>
  <c r="AG135" i="1"/>
  <c r="AG136" i="1" s="1"/>
  <c r="AG137" i="1" s="1"/>
  <c r="AG138" i="1" s="1"/>
  <c r="AG139" i="1" s="1"/>
  <c r="AG140" i="1" s="1"/>
  <c r="AG141" i="1" s="1"/>
  <c r="AG142" i="1" s="1"/>
  <c r="AG143" i="1" s="1"/>
  <c r="AG144" i="1" s="1"/>
  <c r="AS123" i="1"/>
  <c r="AT123" i="1" s="1"/>
  <c r="AC123" i="1"/>
  <c r="AU123" i="1" s="1"/>
  <c r="AS127" i="1"/>
  <c r="AT127" i="1" s="1"/>
  <c r="AC127" i="1"/>
  <c r="AU127" i="1" s="1"/>
  <c r="AS131" i="1"/>
  <c r="AT131" i="1" s="1"/>
  <c r="AC131" i="1"/>
  <c r="AU131" i="1" s="1"/>
  <c r="AC129" i="1"/>
  <c r="AU129" i="1" s="1"/>
  <c r="AS129" i="1"/>
  <c r="AT129" i="1" s="1"/>
  <c r="AS130" i="1"/>
  <c r="AT130" i="1" s="1"/>
  <c r="AC130" i="1"/>
  <c r="AU130" i="1" s="1"/>
  <c r="AS125" i="1"/>
  <c r="AT125" i="1" s="1"/>
  <c r="AC125" i="1"/>
  <c r="AU125" i="1" s="1"/>
  <c r="AG123" i="1"/>
  <c r="AG124" i="1" s="1"/>
  <c r="AG125" i="1" s="1"/>
  <c r="AG126" i="1" s="1"/>
  <c r="AG127" i="1" s="1"/>
  <c r="AG128" i="1" s="1"/>
  <c r="AG129" i="1" s="1"/>
  <c r="AG130" i="1" s="1"/>
  <c r="AG131" i="1" s="1"/>
  <c r="AG132" i="1" s="1"/>
  <c r="AS126" i="1"/>
  <c r="AT126" i="1" s="1"/>
  <c r="AC126" i="1"/>
  <c r="AU126" i="1" s="1"/>
  <c r="AS124" i="1"/>
  <c r="AT124" i="1" s="1"/>
  <c r="AC124" i="1"/>
  <c r="AU124" i="1" s="1"/>
  <c r="AS128" i="1"/>
  <c r="AT128" i="1" s="1"/>
  <c r="AC128" i="1"/>
  <c r="AU128" i="1" s="1"/>
  <c r="AC132" i="1"/>
  <c r="AU132" i="1" s="1"/>
  <c r="AS132" i="1"/>
  <c r="AT132" i="1" s="1"/>
  <c r="AW122" i="1"/>
  <c r="AS117" i="1"/>
  <c r="AT117" i="1" s="1"/>
  <c r="AC117" i="1"/>
  <c r="AU117" i="1" s="1"/>
  <c r="AL110" i="1"/>
  <c r="AG111" i="1"/>
  <c r="AG112" i="1" s="1"/>
  <c r="AG113" i="1" s="1"/>
  <c r="AG114" i="1" s="1"/>
  <c r="AG115" i="1" s="1"/>
  <c r="AG116" i="1" s="1"/>
  <c r="AG117" i="1" s="1"/>
  <c r="AG118" i="1" s="1"/>
  <c r="AG119" i="1" s="1"/>
  <c r="AG120" i="1" s="1"/>
  <c r="AS114" i="1"/>
  <c r="AT114" i="1" s="1"/>
  <c r="AC114" i="1"/>
  <c r="AU114" i="1" s="1"/>
  <c r="AS118" i="1"/>
  <c r="AT118" i="1" s="1"/>
  <c r="AC118" i="1"/>
  <c r="AU118" i="1" s="1"/>
  <c r="AS111" i="1"/>
  <c r="AT111" i="1" s="1"/>
  <c r="AC111" i="1"/>
  <c r="AU111" i="1" s="1"/>
  <c r="AS115" i="1"/>
  <c r="AT115" i="1" s="1"/>
  <c r="AC115" i="1"/>
  <c r="AU115" i="1" s="1"/>
  <c r="AS119" i="1"/>
  <c r="AT119" i="1" s="1"/>
  <c r="AC119" i="1"/>
  <c r="AU119" i="1" s="1"/>
  <c r="AS113" i="1"/>
  <c r="AT113" i="1" s="1"/>
  <c r="AC113" i="1"/>
  <c r="AU113" i="1" s="1"/>
  <c r="AS112" i="1"/>
  <c r="AT112" i="1" s="1"/>
  <c r="AC112" i="1"/>
  <c r="AU112" i="1" s="1"/>
  <c r="AS116" i="1"/>
  <c r="AT116" i="1" s="1"/>
  <c r="AC116" i="1"/>
  <c r="AU116" i="1" s="1"/>
  <c r="AS120" i="1"/>
  <c r="AT120" i="1" s="1"/>
  <c r="AC120" i="1"/>
  <c r="AU120" i="1" s="1"/>
  <c r="AD110" i="1"/>
  <c r="AD111" i="1" s="1"/>
  <c r="AD112" i="1" s="1"/>
  <c r="AD113" i="1" s="1"/>
  <c r="AD114" i="1" s="1"/>
  <c r="AD115" i="1" s="1"/>
  <c r="AD116" i="1" s="1"/>
  <c r="AD117" i="1" s="1"/>
  <c r="AD118" i="1" s="1"/>
  <c r="AD119" i="1" s="1"/>
  <c r="AD120" i="1" s="1"/>
  <c r="AW110" i="1"/>
  <c r="AC105" i="1"/>
  <c r="AU105" i="1" s="1"/>
  <c r="AS105" i="1"/>
  <c r="AT105" i="1" s="1"/>
  <c r="AL98" i="1"/>
  <c r="AG99" i="1"/>
  <c r="AG100" i="1" s="1"/>
  <c r="AG101" i="1" s="1"/>
  <c r="AG102" i="1" s="1"/>
  <c r="AG103" i="1" s="1"/>
  <c r="AG104" i="1" s="1"/>
  <c r="AG105" i="1" s="1"/>
  <c r="AG106" i="1" s="1"/>
  <c r="AG107" i="1" s="1"/>
  <c r="AG108" i="1" s="1"/>
  <c r="AS102" i="1"/>
  <c r="AT102" i="1" s="1"/>
  <c r="AC102" i="1"/>
  <c r="AU102" i="1" s="1"/>
  <c r="AS107" i="1"/>
  <c r="AT107" i="1" s="1"/>
  <c r="AC107" i="1"/>
  <c r="AU107" i="1" s="1"/>
  <c r="AS101" i="1"/>
  <c r="AT101" i="1" s="1"/>
  <c r="AC101" i="1"/>
  <c r="AU101" i="1" s="1"/>
  <c r="AS106" i="1"/>
  <c r="AT106" i="1" s="1"/>
  <c r="AC106" i="1"/>
  <c r="AU106" i="1" s="1"/>
  <c r="AS99" i="1"/>
  <c r="AT99" i="1" s="1"/>
  <c r="AC99" i="1"/>
  <c r="AU99" i="1" s="1"/>
  <c r="AS103" i="1"/>
  <c r="AT103" i="1" s="1"/>
  <c r="AC103" i="1"/>
  <c r="AU103" i="1" s="1"/>
  <c r="AS100" i="1"/>
  <c r="AT100" i="1" s="1"/>
  <c r="AC100" i="1"/>
  <c r="AU100" i="1" s="1"/>
  <c r="AS104" i="1"/>
  <c r="AT104" i="1" s="1"/>
  <c r="AC104" i="1"/>
  <c r="AU104" i="1" s="1"/>
  <c r="AC108" i="1"/>
  <c r="AU108" i="1" s="1"/>
  <c r="AS108" i="1"/>
  <c r="AT108" i="1" s="1"/>
  <c r="AW98" i="1"/>
  <c r="AG87" i="1"/>
  <c r="AG88" i="1" s="1"/>
  <c r="AG89" i="1" s="1"/>
  <c r="AG90" i="1" s="1"/>
  <c r="AG91" i="1" s="1"/>
  <c r="AG92" i="1" s="1"/>
  <c r="AG93" i="1" s="1"/>
  <c r="AG94" i="1" s="1"/>
  <c r="AG95" i="1" s="1"/>
  <c r="AG96" i="1" s="1"/>
  <c r="AS94" i="1"/>
  <c r="AT94" i="1" s="1"/>
  <c r="AC94" i="1"/>
  <c r="AU94" i="1" s="1"/>
  <c r="AS95" i="1"/>
  <c r="AT95" i="1" s="1"/>
  <c r="AC95" i="1"/>
  <c r="AU95" i="1" s="1"/>
  <c r="AS93" i="1"/>
  <c r="AT93" i="1" s="1"/>
  <c r="AC93" i="1"/>
  <c r="AU93" i="1" s="1"/>
  <c r="AS90" i="1"/>
  <c r="AT90" i="1" s="1"/>
  <c r="AC90" i="1"/>
  <c r="AU90" i="1" s="1"/>
  <c r="AS91" i="1"/>
  <c r="AT91" i="1" s="1"/>
  <c r="AC91" i="1"/>
  <c r="AU91" i="1" s="1"/>
  <c r="AS89" i="1"/>
  <c r="AT89" i="1" s="1"/>
  <c r="AC89" i="1"/>
  <c r="AU89" i="1" s="1"/>
  <c r="AS87" i="1"/>
  <c r="AT87" i="1" s="1"/>
  <c r="AC87" i="1"/>
  <c r="AU87" i="1" s="1"/>
  <c r="AS88" i="1"/>
  <c r="AT88" i="1" s="1"/>
  <c r="AC88" i="1"/>
  <c r="AU88" i="1" s="1"/>
  <c r="AC92" i="1"/>
  <c r="AU92" i="1" s="1"/>
  <c r="AS92" i="1"/>
  <c r="AT92" i="1" s="1"/>
  <c r="AC96" i="1"/>
  <c r="AU96" i="1" s="1"/>
  <c r="AS96" i="1"/>
  <c r="AT96" i="1" s="1"/>
  <c r="AW86" i="1"/>
  <c r="AS81" i="1"/>
  <c r="AT81" i="1" s="1"/>
  <c r="AC81" i="1"/>
  <c r="AU81" i="1" s="1"/>
  <c r="AL74" i="1"/>
  <c r="AG75" i="1"/>
  <c r="AG76" i="1" s="1"/>
  <c r="AG77" i="1" s="1"/>
  <c r="AG78" i="1" s="1"/>
  <c r="AG79" i="1" s="1"/>
  <c r="AG80" i="1" s="1"/>
  <c r="AG81" i="1" s="1"/>
  <c r="AG82" i="1" s="1"/>
  <c r="AG83" i="1" s="1"/>
  <c r="AG84" i="1" s="1"/>
  <c r="AS78" i="1"/>
  <c r="AT78" i="1" s="1"/>
  <c r="AC78" i="1"/>
  <c r="AU78" i="1" s="1"/>
  <c r="AS75" i="1"/>
  <c r="AT75" i="1" s="1"/>
  <c r="AC75" i="1"/>
  <c r="AU75" i="1" s="1"/>
  <c r="AS79" i="1"/>
  <c r="AT79" i="1" s="1"/>
  <c r="AC79" i="1"/>
  <c r="AU79" i="1" s="1"/>
  <c r="AS83" i="1"/>
  <c r="AT83" i="1" s="1"/>
  <c r="AC83" i="1"/>
  <c r="AU83" i="1" s="1"/>
  <c r="AS77" i="1"/>
  <c r="AT77" i="1" s="1"/>
  <c r="AC77" i="1"/>
  <c r="AU77" i="1" s="1"/>
  <c r="AS82" i="1"/>
  <c r="AT82" i="1" s="1"/>
  <c r="AC82" i="1"/>
  <c r="AU82" i="1" s="1"/>
  <c r="AS76" i="1"/>
  <c r="AT76" i="1" s="1"/>
  <c r="AC76" i="1"/>
  <c r="AU76" i="1" s="1"/>
  <c r="AC80" i="1"/>
  <c r="AU80" i="1" s="1"/>
  <c r="AS80" i="1"/>
  <c r="AT80" i="1" s="1"/>
  <c r="AS84" i="1"/>
  <c r="AT84" i="1" s="1"/>
  <c r="AC84" i="1"/>
  <c r="AU84" i="1" s="1"/>
  <c r="AW74" i="1"/>
  <c r="AC69" i="1"/>
  <c r="AU69" i="1" s="1"/>
  <c r="AS69" i="1"/>
  <c r="AT69" i="1" s="1"/>
  <c r="AG63" i="1"/>
  <c r="AG64" i="1" s="1"/>
  <c r="AG65" i="1" s="1"/>
  <c r="AG66" i="1" s="1"/>
  <c r="AG67" i="1" s="1"/>
  <c r="AG68" i="1" s="1"/>
  <c r="AG69" i="1" s="1"/>
  <c r="AG70" i="1" s="1"/>
  <c r="AG71" i="1" s="1"/>
  <c r="AG72" i="1" s="1"/>
  <c r="AC66" i="1"/>
  <c r="AU66" i="1" s="1"/>
  <c r="AS66" i="1"/>
  <c r="AT66" i="1" s="1"/>
  <c r="AC63" i="1"/>
  <c r="AU63" i="1" s="1"/>
  <c r="AS63" i="1"/>
  <c r="AT63" i="1" s="1"/>
  <c r="AC67" i="1"/>
  <c r="AU67" i="1" s="1"/>
  <c r="AS67" i="1"/>
  <c r="AT67" i="1" s="1"/>
  <c r="AS71" i="1"/>
  <c r="AT71" i="1" s="1"/>
  <c r="AC71" i="1"/>
  <c r="AU71" i="1" s="1"/>
  <c r="AC65" i="1"/>
  <c r="AU65" i="1" s="1"/>
  <c r="AS65" i="1"/>
  <c r="AT65" i="1" s="1"/>
  <c r="AC70" i="1"/>
  <c r="AU70" i="1" s="1"/>
  <c r="AS70" i="1"/>
  <c r="AT70" i="1" s="1"/>
  <c r="AC64" i="1"/>
  <c r="AU64" i="1" s="1"/>
  <c r="AS64" i="1"/>
  <c r="AT64" i="1" s="1"/>
  <c r="AC68" i="1"/>
  <c r="AU68" i="1" s="1"/>
  <c r="AS68" i="1"/>
  <c r="AT68" i="1" s="1"/>
  <c r="AC72" i="1"/>
  <c r="AU72" i="1" s="1"/>
  <c r="AS72" i="1"/>
  <c r="AT72" i="1" s="1"/>
  <c r="AW62" i="1"/>
  <c r="AS58" i="1"/>
  <c r="AT58" i="1" s="1"/>
  <c r="AC58" i="1"/>
  <c r="AU58" i="1" s="1"/>
  <c r="AS57" i="1"/>
  <c r="AT57" i="1" s="1"/>
  <c r="AC57" i="1"/>
  <c r="AU57" i="1" s="1"/>
  <c r="AS55" i="1"/>
  <c r="AT55" i="1" s="1"/>
  <c r="AC55" i="1"/>
  <c r="AU55" i="1" s="1"/>
  <c r="AS56" i="1"/>
  <c r="AT56" i="1" s="1"/>
  <c r="AC56" i="1"/>
  <c r="AU56" i="1" s="1"/>
  <c r="AS59" i="1"/>
  <c r="AT59" i="1" s="1"/>
  <c r="AC59" i="1"/>
  <c r="AU59" i="1" s="1"/>
  <c r="AG51" i="1"/>
  <c r="AG52" i="1" s="1"/>
  <c r="AG53" i="1" s="1"/>
  <c r="AG54" i="1" s="1"/>
  <c r="AG55" i="1" s="1"/>
  <c r="AG56" i="1" s="1"/>
  <c r="AG57" i="1" s="1"/>
  <c r="AG58" i="1" s="1"/>
  <c r="AG59" i="1" s="1"/>
  <c r="AG60" i="1" s="1"/>
  <c r="AS60" i="1"/>
  <c r="AT60" i="1" s="1"/>
  <c r="AC60" i="1"/>
  <c r="AU60" i="1" s="1"/>
  <c r="AW50" i="1"/>
  <c r="AS47" i="1"/>
  <c r="AT47" i="1" s="1"/>
  <c r="AC47" i="1"/>
  <c r="AU47" i="1" s="1"/>
  <c r="AC40" i="1"/>
  <c r="AU40" i="1" s="1"/>
  <c r="AS45" i="1"/>
  <c r="AT45" i="1" s="1"/>
  <c r="AC45" i="1"/>
  <c r="AU45" i="1" s="1"/>
  <c r="AS46" i="1"/>
  <c r="AT46" i="1" s="1"/>
  <c r="AC46" i="1"/>
  <c r="AU46" i="1" s="1"/>
  <c r="AL38" i="1"/>
  <c r="AG39" i="1"/>
  <c r="AG40" i="1" s="1"/>
  <c r="AG41" i="1" s="1"/>
  <c r="AG42" i="1" s="1"/>
  <c r="AG43" i="1" s="1"/>
  <c r="AG44" i="1" s="1"/>
  <c r="AG45" i="1" s="1"/>
  <c r="AG46" i="1" s="1"/>
  <c r="AG47" i="1" s="1"/>
  <c r="AG48" i="1" s="1"/>
  <c r="AS48" i="1"/>
  <c r="AT48" i="1" s="1"/>
  <c r="AC48" i="1"/>
  <c r="AU48" i="1" s="1"/>
  <c r="AW38" i="1"/>
  <c r="AS29" i="1"/>
  <c r="AT29" i="1" s="1"/>
  <c r="AC29" i="1"/>
  <c r="AU29" i="1" s="1"/>
  <c r="AS33" i="1"/>
  <c r="AT33" i="1" s="1"/>
  <c r="AC33" i="1"/>
  <c r="AU33" i="1" s="1"/>
  <c r="AG27" i="1"/>
  <c r="AG28" i="1" s="1"/>
  <c r="AG29" i="1" s="1"/>
  <c r="AG30" i="1" s="1"/>
  <c r="AG31" i="1" s="1"/>
  <c r="AG32" i="1" s="1"/>
  <c r="AG33" i="1" s="1"/>
  <c r="AG34" i="1" s="1"/>
  <c r="AG35" i="1" s="1"/>
  <c r="AG36" i="1" s="1"/>
  <c r="AS30" i="1"/>
  <c r="AT30" i="1" s="1"/>
  <c r="AC30" i="1"/>
  <c r="AU30" i="1" s="1"/>
  <c r="AS34" i="1"/>
  <c r="AT34" i="1" s="1"/>
  <c r="AC34" i="1"/>
  <c r="AU34" i="1" s="1"/>
  <c r="AS27" i="1"/>
  <c r="AT27" i="1" s="1"/>
  <c r="AC27" i="1"/>
  <c r="AU27" i="1" s="1"/>
  <c r="AS31" i="1"/>
  <c r="AT31" i="1" s="1"/>
  <c r="AC31" i="1"/>
  <c r="AU31" i="1" s="1"/>
  <c r="AS35" i="1"/>
  <c r="AT35" i="1" s="1"/>
  <c r="AC35" i="1"/>
  <c r="AU35" i="1" s="1"/>
  <c r="AS28" i="1"/>
  <c r="AT28" i="1" s="1"/>
  <c r="AC28" i="1"/>
  <c r="AU28" i="1" s="1"/>
  <c r="AS32" i="1"/>
  <c r="AT32" i="1" s="1"/>
  <c r="AC32" i="1"/>
  <c r="AU32" i="1" s="1"/>
  <c r="AS36" i="1"/>
  <c r="AT36" i="1" s="1"/>
  <c r="AC36" i="1"/>
  <c r="AU36" i="1" s="1"/>
  <c r="AD26" i="1"/>
  <c r="AD27" i="1" s="1"/>
  <c r="AD28" i="1" s="1"/>
  <c r="AD29" i="1" s="1"/>
  <c r="AD30" i="1" s="1"/>
  <c r="AD31" i="1" s="1"/>
  <c r="AD32" i="1" s="1"/>
  <c r="AD33" i="1" s="1"/>
  <c r="AD34" i="1" s="1"/>
  <c r="AD35" i="1" s="1"/>
  <c r="AD36" i="1" s="1"/>
  <c r="AW26" i="1"/>
  <c r="AL14" i="1"/>
  <c r="AG15" i="1"/>
  <c r="AG16" i="1" s="1"/>
  <c r="AG17" i="1" s="1"/>
  <c r="AG18" i="1" s="1"/>
  <c r="AG19" i="1" s="1"/>
  <c r="AG20" i="1" s="1"/>
  <c r="AG21" i="1" s="1"/>
  <c r="AG22" i="1" s="1"/>
  <c r="AG23" i="1" s="1"/>
  <c r="AG24" i="1" s="1"/>
  <c r="AS21" i="1"/>
  <c r="AT21" i="1" s="1"/>
  <c r="AC21" i="1"/>
  <c r="AU21" i="1" s="1"/>
  <c r="AS22" i="1"/>
  <c r="AT22" i="1" s="1"/>
  <c r="AC22" i="1"/>
  <c r="AU22" i="1" s="1"/>
  <c r="AS15" i="1"/>
  <c r="AT15" i="1" s="1"/>
  <c r="AC15" i="1"/>
  <c r="AU15" i="1" s="1"/>
  <c r="AS19" i="1"/>
  <c r="AT19" i="1" s="1"/>
  <c r="AC19" i="1"/>
  <c r="AU19" i="1" s="1"/>
  <c r="AS23" i="1"/>
  <c r="AT23" i="1" s="1"/>
  <c r="AC23" i="1"/>
  <c r="AU23" i="1" s="1"/>
  <c r="AS17" i="1"/>
  <c r="AT17" i="1" s="1"/>
  <c r="AC17" i="1"/>
  <c r="AU17" i="1" s="1"/>
  <c r="AS18" i="1"/>
  <c r="AT18" i="1" s="1"/>
  <c r="AC18" i="1"/>
  <c r="AU18" i="1" s="1"/>
  <c r="AS16" i="1"/>
  <c r="AT16" i="1" s="1"/>
  <c r="AC16" i="1"/>
  <c r="AU16" i="1" s="1"/>
  <c r="AS20" i="1"/>
  <c r="AT20" i="1" s="1"/>
  <c r="AC20" i="1"/>
  <c r="AU20" i="1" s="1"/>
  <c r="AS24" i="1"/>
  <c r="AT24" i="1" s="1"/>
  <c r="AC24" i="1"/>
  <c r="AU24" i="1" s="1"/>
  <c r="AW14" i="1"/>
  <c r="AY494" i="1" l="1"/>
  <c r="AX494" i="1"/>
  <c r="AL495" i="1"/>
  <c r="AR494" i="1"/>
  <c r="AY482" i="1"/>
  <c r="AX482" i="1"/>
  <c r="AL484" i="1"/>
  <c r="AR483" i="1"/>
  <c r="AL472" i="1"/>
  <c r="AR471" i="1"/>
  <c r="AY470" i="1"/>
  <c r="AX470" i="1"/>
  <c r="AY458" i="1"/>
  <c r="AX458" i="1"/>
  <c r="AL459" i="1"/>
  <c r="AR458" i="1"/>
  <c r="AL447" i="1"/>
  <c r="AR446" i="1"/>
  <c r="AY446" i="1"/>
  <c r="AX446" i="1"/>
  <c r="AY434" i="1"/>
  <c r="AX434" i="1"/>
  <c r="AL435" i="1"/>
  <c r="AR434" i="1"/>
  <c r="AY422" i="1"/>
  <c r="AX422" i="1"/>
  <c r="AL423" i="1"/>
  <c r="AR422" i="1"/>
  <c r="AL411" i="1"/>
  <c r="AR410" i="1"/>
  <c r="AS410" i="1"/>
  <c r="AT410" i="1" s="1"/>
  <c r="AK410" i="1" s="1"/>
  <c r="AK411" i="1" s="1"/>
  <c r="AK412" i="1" s="1"/>
  <c r="AK413" i="1" s="1"/>
  <c r="AK414" i="1" s="1"/>
  <c r="AK415" i="1" s="1"/>
  <c r="AK416" i="1" s="1"/>
  <c r="AK417" i="1" s="1"/>
  <c r="AK418" i="1" s="1"/>
  <c r="AK419" i="1" s="1"/>
  <c r="AK420" i="1" s="1"/>
  <c r="AC410" i="1"/>
  <c r="AU410" i="1" s="1"/>
  <c r="AJ410" i="1" s="1"/>
  <c r="AJ411" i="1" s="1"/>
  <c r="AJ412" i="1" s="1"/>
  <c r="AJ413" i="1" s="1"/>
  <c r="AJ414" i="1" s="1"/>
  <c r="AJ415" i="1" s="1"/>
  <c r="AJ416" i="1" s="1"/>
  <c r="AJ417" i="1" s="1"/>
  <c r="AJ418" i="1" s="1"/>
  <c r="AJ419" i="1" s="1"/>
  <c r="AJ420" i="1" s="1"/>
  <c r="AY411" i="1"/>
  <c r="AY412" i="1" s="1"/>
  <c r="AY413" i="1" s="1"/>
  <c r="AY414" i="1" s="1"/>
  <c r="AY415" i="1" s="1"/>
  <c r="AY416" i="1" s="1"/>
  <c r="AY417" i="1" s="1"/>
  <c r="AY418" i="1" s="1"/>
  <c r="AY419" i="1" s="1"/>
  <c r="AY420" i="1" s="1"/>
  <c r="AF410" i="1"/>
  <c r="AF411" i="1" s="1"/>
  <c r="AF412" i="1" s="1"/>
  <c r="AF413" i="1" s="1"/>
  <c r="AF414" i="1" s="1"/>
  <c r="AF415" i="1" s="1"/>
  <c r="AF416" i="1" s="1"/>
  <c r="AF417" i="1" s="1"/>
  <c r="AF418" i="1" s="1"/>
  <c r="AF419" i="1" s="1"/>
  <c r="AF420" i="1" s="1"/>
  <c r="AY398" i="1"/>
  <c r="AX398" i="1"/>
  <c r="AL399" i="1"/>
  <c r="AR398" i="1"/>
  <c r="AL388" i="1"/>
  <c r="AR387" i="1"/>
  <c r="AY386" i="1"/>
  <c r="AX386" i="1"/>
  <c r="AL375" i="1"/>
  <c r="AR374" i="1"/>
  <c r="AY374" i="1"/>
  <c r="AX374" i="1"/>
  <c r="AL364" i="1"/>
  <c r="AR363" i="1"/>
  <c r="AY362" i="1"/>
  <c r="AX362" i="1"/>
  <c r="AL351" i="1"/>
  <c r="AR350" i="1"/>
  <c r="AY350" i="1"/>
  <c r="AX350" i="1"/>
  <c r="AF338" i="1"/>
  <c r="AF339" i="1" s="1"/>
  <c r="AF340" i="1" s="1"/>
  <c r="AF341" i="1" s="1"/>
  <c r="AF342" i="1" s="1"/>
  <c r="AF343" i="1" s="1"/>
  <c r="AF344" i="1" s="1"/>
  <c r="AF345" i="1" s="1"/>
  <c r="AF346" i="1" s="1"/>
  <c r="AF347" i="1" s="1"/>
  <c r="AF348" i="1" s="1"/>
  <c r="AY339" i="1"/>
  <c r="AY340" i="1" s="1"/>
  <c r="AY341" i="1" s="1"/>
  <c r="AY342" i="1" s="1"/>
  <c r="AY343" i="1" s="1"/>
  <c r="AY344" i="1" s="1"/>
  <c r="AY345" i="1" s="1"/>
  <c r="AY346" i="1" s="1"/>
  <c r="AY347" i="1" s="1"/>
  <c r="AY348" i="1" s="1"/>
  <c r="AC338" i="1"/>
  <c r="AU338" i="1" s="1"/>
  <c r="AJ338" i="1" s="1"/>
  <c r="AJ339" i="1" s="1"/>
  <c r="AJ340" i="1" s="1"/>
  <c r="AJ341" i="1" s="1"/>
  <c r="AJ342" i="1" s="1"/>
  <c r="AJ343" i="1" s="1"/>
  <c r="AJ344" i="1" s="1"/>
  <c r="AJ345" i="1" s="1"/>
  <c r="AJ346" i="1" s="1"/>
  <c r="AJ347" i="1" s="1"/>
  <c r="AJ348" i="1" s="1"/>
  <c r="AS338" i="1"/>
  <c r="AT338" i="1" s="1"/>
  <c r="AY326" i="1"/>
  <c r="AX326" i="1"/>
  <c r="AY314" i="1"/>
  <c r="AX314" i="1"/>
  <c r="AY302" i="1"/>
  <c r="AX302" i="1"/>
  <c r="AY290" i="1"/>
  <c r="AX290" i="1"/>
  <c r="AL279" i="1"/>
  <c r="AR278" i="1"/>
  <c r="AY278" i="1"/>
  <c r="AX278" i="1"/>
  <c r="AY266" i="1"/>
  <c r="AX266" i="1"/>
  <c r="AL268" i="1"/>
  <c r="AR267" i="1"/>
  <c r="AL255" i="1"/>
  <c r="AR254" i="1"/>
  <c r="AY254" i="1"/>
  <c r="AX254" i="1"/>
  <c r="AY242" i="1"/>
  <c r="AX242" i="1"/>
  <c r="AL243" i="1"/>
  <c r="AR242" i="1"/>
  <c r="AY230" i="1"/>
  <c r="AX230" i="1"/>
  <c r="AL231" i="1"/>
  <c r="AR230" i="1"/>
  <c r="AY218" i="1"/>
  <c r="AX218" i="1"/>
  <c r="AL219" i="1"/>
  <c r="AR218" i="1"/>
  <c r="AL207" i="1"/>
  <c r="AR206" i="1"/>
  <c r="AY206" i="1"/>
  <c r="AX206" i="1"/>
  <c r="AY194" i="1"/>
  <c r="AX194" i="1"/>
  <c r="AL195" i="1"/>
  <c r="AR194" i="1"/>
  <c r="AY182" i="1"/>
  <c r="AX182" i="1"/>
  <c r="AY170" i="1"/>
  <c r="AX170" i="1"/>
  <c r="AL171" i="1"/>
  <c r="AR170" i="1"/>
  <c r="AY158" i="1"/>
  <c r="AX158" i="1"/>
  <c r="AY146" i="1"/>
  <c r="AX146" i="1"/>
  <c r="AY134" i="1"/>
  <c r="AX134" i="1"/>
  <c r="AY122" i="1"/>
  <c r="AX122" i="1"/>
  <c r="AY110" i="1"/>
  <c r="AX110" i="1"/>
  <c r="AL111" i="1"/>
  <c r="AR110" i="1"/>
  <c r="AY98" i="1"/>
  <c r="AX98" i="1"/>
  <c r="AL99" i="1"/>
  <c r="AR98" i="1"/>
  <c r="AY86" i="1"/>
  <c r="AX86" i="1"/>
  <c r="AL75" i="1"/>
  <c r="AR74" i="1"/>
  <c r="AY74" i="1"/>
  <c r="AX74" i="1"/>
  <c r="AY62" i="1"/>
  <c r="AX62" i="1"/>
  <c r="AY50" i="1"/>
  <c r="AX50" i="1"/>
  <c r="AL39" i="1"/>
  <c r="AR38" i="1"/>
  <c r="AY38" i="1"/>
  <c r="AX38" i="1"/>
  <c r="AY26" i="1"/>
  <c r="AX26" i="1"/>
  <c r="AY14" i="1"/>
  <c r="AX14" i="1"/>
  <c r="AL15" i="1"/>
  <c r="AR14" i="1"/>
  <c r="AL496" i="1" l="1"/>
  <c r="AR495" i="1"/>
  <c r="AS494" i="1"/>
  <c r="AT494" i="1" s="1"/>
  <c r="AK494" i="1" s="1"/>
  <c r="AK495" i="1" s="1"/>
  <c r="AK496" i="1" s="1"/>
  <c r="AK497" i="1" s="1"/>
  <c r="AK498" i="1" s="1"/>
  <c r="AK499" i="1" s="1"/>
  <c r="AK500" i="1" s="1"/>
  <c r="AK501" i="1" s="1"/>
  <c r="AK502" i="1" s="1"/>
  <c r="AK503" i="1" s="1"/>
  <c r="AK504" i="1" s="1"/>
  <c r="AC494" i="1"/>
  <c r="AU494" i="1" s="1"/>
  <c r="AJ494" i="1" s="1"/>
  <c r="AJ495" i="1" s="1"/>
  <c r="AJ496" i="1" s="1"/>
  <c r="AJ497" i="1" s="1"/>
  <c r="AJ498" i="1" s="1"/>
  <c r="AJ499" i="1" s="1"/>
  <c r="AJ500" i="1" s="1"/>
  <c r="AJ501" i="1" s="1"/>
  <c r="AJ502" i="1" s="1"/>
  <c r="AJ503" i="1" s="1"/>
  <c r="AJ504" i="1" s="1"/>
  <c r="AY495" i="1"/>
  <c r="AY496" i="1" s="1"/>
  <c r="AY497" i="1" s="1"/>
  <c r="AY498" i="1" s="1"/>
  <c r="AY499" i="1" s="1"/>
  <c r="AY500" i="1" s="1"/>
  <c r="AY501" i="1" s="1"/>
  <c r="AY502" i="1" s="1"/>
  <c r="AY503" i="1" s="1"/>
  <c r="AY504" i="1" s="1"/>
  <c r="AF494" i="1"/>
  <c r="AF495" i="1" s="1"/>
  <c r="AF496" i="1" s="1"/>
  <c r="AF497" i="1" s="1"/>
  <c r="AF498" i="1" s="1"/>
  <c r="AF499" i="1" s="1"/>
  <c r="AF500" i="1" s="1"/>
  <c r="AF501" i="1" s="1"/>
  <c r="AF502" i="1" s="1"/>
  <c r="AF503" i="1" s="1"/>
  <c r="AF504" i="1" s="1"/>
  <c r="AL485" i="1"/>
  <c r="AR484" i="1"/>
  <c r="AC482" i="1"/>
  <c r="AU482" i="1" s="1"/>
  <c r="AJ482" i="1" s="1"/>
  <c r="AJ483" i="1" s="1"/>
  <c r="AJ484" i="1" s="1"/>
  <c r="AJ485" i="1" s="1"/>
  <c r="AJ486" i="1" s="1"/>
  <c r="AJ487" i="1" s="1"/>
  <c r="AJ488" i="1" s="1"/>
  <c r="AJ489" i="1" s="1"/>
  <c r="AJ490" i="1" s="1"/>
  <c r="AJ491" i="1" s="1"/>
  <c r="AJ492" i="1" s="1"/>
  <c r="AS482" i="1"/>
  <c r="AT482" i="1" s="1"/>
  <c r="AK482" i="1" s="1"/>
  <c r="AK483" i="1" s="1"/>
  <c r="AK484" i="1" s="1"/>
  <c r="AK485" i="1" s="1"/>
  <c r="AK486" i="1" s="1"/>
  <c r="AK487" i="1" s="1"/>
  <c r="AK488" i="1" s="1"/>
  <c r="AK489" i="1" s="1"/>
  <c r="AK490" i="1" s="1"/>
  <c r="AK491" i="1" s="1"/>
  <c r="AK492" i="1" s="1"/>
  <c r="AY483" i="1"/>
  <c r="AY484" i="1" s="1"/>
  <c r="AY485" i="1" s="1"/>
  <c r="AY486" i="1" s="1"/>
  <c r="AY487" i="1" s="1"/>
  <c r="AY488" i="1" s="1"/>
  <c r="AY489" i="1" s="1"/>
  <c r="AY490" i="1" s="1"/>
  <c r="AY491" i="1" s="1"/>
  <c r="AY492" i="1" s="1"/>
  <c r="AF482" i="1"/>
  <c r="AF483" i="1" s="1"/>
  <c r="AF484" i="1" s="1"/>
  <c r="AF485" i="1" s="1"/>
  <c r="AF486" i="1" s="1"/>
  <c r="AF487" i="1" s="1"/>
  <c r="AF488" i="1" s="1"/>
  <c r="AF489" i="1" s="1"/>
  <c r="AF490" i="1" s="1"/>
  <c r="AF491" i="1" s="1"/>
  <c r="AF492" i="1" s="1"/>
  <c r="AC470" i="1"/>
  <c r="AU470" i="1" s="1"/>
  <c r="AJ470" i="1" s="1"/>
  <c r="AJ471" i="1" s="1"/>
  <c r="AJ472" i="1" s="1"/>
  <c r="AJ473" i="1" s="1"/>
  <c r="AJ474" i="1" s="1"/>
  <c r="AJ475" i="1" s="1"/>
  <c r="AJ476" i="1" s="1"/>
  <c r="AJ477" i="1" s="1"/>
  <c r="AJ478" i="1" s="1"/>
  <c r="AJ479" i="1" s="1"/>
  <c r="AJ480" i="1" s="1"/>
  <c r="AS470" i="1"/>
  <c r="AT470" i="1" s="1"/>
  <c r="AK470" i="1" s="1"/>
  <c r="AK471" i="1" s="1"/>
  <c r="AK472" i="1" s="1"/>
  <c r="AK473" i="1" s="1"/>
  <c r="AK474" i="1" s="1"/>
  <c r="AK475" i="1" s="1"/>
  <c r="AK476" i="1" s="1"/>
  <c r="AK477" i="1" s="1"/>
  <c r="AK478" i="1" s="1"/>
  <c r="AK479" i="1" s="1"/>
  <c r="AK480" i="1" s="1"/>
  <c r="AY471" i="1"/>
  <c r="AY472" i="1" s="1"/>
  <c r="AY473" i="1" s="1"/>
  <c r="AY474" i="1" s="1"/>
  <c r="AY475" i="1" s="1"/>
  <c r="AY476" i="1" s="1"/>
  <c r="AY477" i="1" s="1"/>
  <c r="AY478" i="1" s="1"/>
  <c r="AY479" i="1" s="1"/>
  <c r="AY480" i="1" s="1"/>
  <c r="AF470" i="1"/>
  <c r="AF471" i="1" s="1"/>
  <c r="AF472" i="1" s="1"/>
  <c r="AF473" i="1" s="1"/>
  <c r="AF474" i="1" s="1"/>
  <c r="AF475" i="1" s="1"/>
  <c r="AF476" i="1" s="1"/>
  <c r="AF477" i="1" s="1"/>
  <c r="AF478" i="1" s="1"/>
  <c r="AF479" i="1" s="1"/>
  <c r="AF480" i="1" s="1"/>
  <c r="AL473" i="1"/>
  <c r="AR472" i="1"/>
  <c r="AL460" i="1"/>
  <c r="AR459" i="1"/>
  <c r="AC458" i="1"/>
  <c r="AU458" i="1" s="1"/>
  <c r="AJ458" i="1" s="1"/>
  <c r="AJ459" i="1" s="1"/>
  <c r="AJ460" i="1" s="1"/>
  <c r="AJ461" i="1" s="1"/>
  <c r="AJ462" i="1" s="1"/>
  <c r="AJ463" i="1" s="1"/>
  <c r="AJ464" i="1" s="1"/>
  <c r="AJ465" i="1" s="1"/>
  <c r="AJ466" i="1" s="1"/>
  <c r="AJ467" i="1" s="1"/>
  <c r="AJ468" i="1" s="1"/>
  <c r="AS458" i="1"/>
  <c r="AT458" i="1" s="1"/>
  <c r="AK458" i="1" s="1"/>
  <c r="AK459" i="1" s="1"/>
  <c r="AK460" i="1" s="1"/>
  <c r="AK461" i="1" s="1"/>
  <c r="AK462" i="1" s="1"/>
  <c r="AK463" i="1" s="1"/>
  <c r="AK464" i="1" s="1"/>
  <c r="AK465" i="1" s="1"/>
  <c r="AK466" i="1" s="1"/>
  <c r="AK467" i="1" s="1"/>
  <c r="AK468" i="1" s="1"/>
  <c r="AY459" i="1"/>
  <c r="AY460" i="1" s="1"/>
  <c r="AY461" i="1" s="1"/>
  <c r="AY462" i="1" s="1"/>
  <c r="AY463" i="1" s="1"/>
  <c r="AY464" i="1" s="1"/>
  <c r="AY465" i="1" s="1"/>
  <c r="AY466" i="1" s="1"/>
  <c r="AY467" i="1" s="1"/>
  <c r="AY468" i="1" s="1"/>
  <c r="AF458" i="1"/>
  <c r="AF459" i="1" s="1"/>
  <c r="AF460" i="1" s="1"/>
  <c r="AF461" i="1" s="1"/>
  <c r="AF462" i="1" s="1"/>
  <c r="AF463" i="1" s="1"/>
  <c r="AF464" i="1" s="1"/>
  <c r="AF465" i="1" s="1"/>
  <c r="AF466" i="1" s="1"/>
  <c r="AF467" i="1" s="1"/>
  <c r="AF468" i="1" s="1"/>
  <c r="AS446" i="1"/>
  <c r="AT446" i="1" s="1"/>
  <c r="AK446" i="1" s="1"/>
  <c r="AK447" i="1" s="1"/>
  <c r="AK448" i="1" s="1"/>
  <c r="AK449" i="1" s="1"/>
  <c r="AK450" i="1" s="1"/>
  <c r="AK451" i="1" s="1"/>
  <c r="AK452" i="1" s="1"/>
  <c r="AK453" i="1" s="1"/>
  <c r="AK454" i="1" s="1"/>
  <c r="AK455" i="1" s="1"/>
  <c r="AK456" i="1" s="1"/>
  <c r="AC446" i="1"/>
  <c r="AU446" i="1" s="1"/>
  <c r="AJ446" i="1" s="1"/>
  <c r="AJ447" i="1" s="1"/>
  <c r="AJ448" i="1" s="1"/>
  <c r="AJ449" i="1" s="1"/>
  <c r="AJ450" i="1" s="1"/>
  <c r="AJ451" i="1" s="1"/>
  <c r="AJ452" i="1" s="1"/>
  <c r="AJ453" i="1" s="1"/>
  <c r="AJ454" i="1" s="1"/>
  <c r="AJ455" i="1" s="1"/>
  <c r="AJ456" i="1" s="1"/>
  <c r="AY447" i="1"/>
  <c r="AY448" i="1" s="1"/>
  <c r="AY449" i="1" s="1"/>
  <c r="AY450" i="1" s="1"/>
  <c r="AY451" i="1" s="1"/>
  <c r="AY452" i="1" s="1"/>
  <c r="AY453" i="1" s="1"/>
  <c r="AY454" i="1" s="1"/>
  <c r="AY455" i="1" s="1"/>
  <c r="AY456" i="1" s="1"/>
  <c r="AF446" i="1"/>
  <c r="AF447" i="1" s="1"/>
  <c r="AF448" i="1" s="1"/>
  <c r="AF449" i="1" s="1"/>
  <c r="AF450" i="1" s="1"/>
  <c r="AF451" i="1" s="1"/>
  <c r="AF452" i="1" s="1"/>
  <c r="AF453" i="1" s="1"/>
  <c r="AF454" i="1" s="1"/>
  <c r="AF455" i="1" s="1"/>
  <c r="AF456" i="1" s="1"/>
  <c r="AL448" i="1"/>
  <c r="AR447" i="1"/>
  <c r="AS434" i="1"/>
  <c r="AT434" i="1" s="1"/>
  <c r="AK434" i="1" s="1"/>
  <c r="AK435" i="1" s="1"/>
  <c r="AK436" i="1" s="1"/>
  <c r="AK437" i="1" s="1"/>
  <c r="AK438" i="1" s="1"/>
  <c r="AK439" i="1" s="1"/>
  <c r="AK440" i="1" s="1"/>
  <c r="AK441" i="1" s="1"/>
  <c r="AK442" i="1" s="1"/>
  <c r="AK443" i="1" s="1"/>
  <c r="AK444" i="1" s="1"/>
  <c r="AC434" i="1"/>
  <c r="AU434" i="1" s="1"/>
  <c r="AJ434" i="1" s="1"/>
  <c r="AJ435" i="1" s="1"/>
  <c r="AJ436" i="1" s="1"/>
  <c r="AJ437" i="1" s="1"/>
  <c r="AJ438" i="1" s="1"/>
  <c r="AJ439" i="1" s="1"/>
  <c r="AJ440" i="1" s="1"/>
  <c r="AJ441" i="1" s="1"/>
  <c r="AJ442" i="1" s="1"/>
  <c r="AJ443" i="1" s="1"/>
  <c r="AJ444" i="1" s="1"/>
  <c r="AL436" i="1"/>
  <c r="AR435" i="1"/>
  <c r="AY435" i="1"/>
  <c r="AY436" i="1" s="1"/>
  <c r="AY437" i="1" s="1"/>
  <c r="AY438" i="1" s="1"/>
  <c r="AY439" i="1" s="1"/>
  <c r="AY440" i="1" s="1"/>
  <c r="AY441" i="1" s="1"/>
  <c r="AY442" i="1" s="1"/>
  <c r="AY443" i="1" s="1"/>
  <c r="AY444" i="1" s="1"/>
  <c r="AF434" i="1"/>
  <c r="AF435" i="1" s="1"/>
  <c r="AF436" i="1" s="1"/>
  <c r="AF437" i="1" s="1"/>
  <c r="AF438" i="1" s="1"/>
  <c r="AF439" i="1" s="1"/>
  <c r="AF440" i="1" s="1"/>
  <c r="AF441" i="1" s="1"/>
  <c r="AF442" i="1" s="1"/>
  <c r="AF443" i="1" s="1"/>
  <c r="AF444" i="1" s="1"/>
  <c r="AS422" i="1"/>
  <c r="AT422" i="1" s="1"/>
  <c r="AK422" i="1" s="1"/>
  <c r="AK423" i="1" s="1"/>
  <c r="AK424" i="1" s="1"/>
  <c r="AK425" i="1" s="1"/>
  <c r="AK426" i="1" s="1"/>
  <c r="AK427" i="1" s="1"/>
  <c r="AK428" i="1" s="1"/>
  <c r="AK429" i="1" s="1"/>
  <c r="AK430" i="1" s="1"/>
  <c r="AK431" i="1" s="1"/>
  <c r="AK432" i="1" s="1"/>
  <c r="AC422" i="1"/>
  <c r="AU422" i="1" s="1"/>
  <c r="AJ422" i="1" s="1"/>
  <c r="AJ423" i="1" s="1"/>
  <c r="AJ424" i="1" s="1"/>
  <c r="AJ425" i="1" s="1"/>
  <c r="AJ426" i="1" s="1"/>
  <c r="AJ427" i="1" s="1"/>
  <c r="AJ428" i="1" s="1"/>
  <c r="AJ429" i="1" s="1"/>
  <c r="AJ430" i="1" s="1"/>
  <c r="AJ431" i="1" s="1"/>
  <c r="AJ432" i="1" s="1"/>
  <c r="AY423" i="1"/>
  <c r="AY424" i="1" s="1"/>
  <c r="AY425" i="1" s="1"/>
  <c r="AY426" i="1" s="1"/>
  <c r="AY427" i="1" s="1"/>
  <c r="AY428" i="1" s="1"/>
  <c r="AY429" i="1" s="1"/>
  <c r="AY430" i="1" s="1"/>
  <c r="AY431" i="1" s="1"/>
  <c r="AY432" i="1" s="1"/>
  <c r="AF422" i="1"/>
  <c r="AF423" i="1" s="1"/>
  <c r="AF424" i="1" s="1"/>
  <c r="AF425" i="1" s="1"/>
  <c r="AF426" i="1" s="1"/>
  <c r="AF427" i="1" s="1"/>
  <c r="AF428" i="1" s="1"/>
  <c r="AF429" i="1" s="1"/>
  <c r="AF430" i="1" s="1"/>
  <c r="AF431" i="1" s="1"/>
  <c r="AF432" i="1" s="1"/>
  <c r="AL424" i="1"/>
  <c r="AR423" i="1"/>
  <c r="AL412" i="1"/>
  <c r="AR411" i="1"/>
  <c r="AY399" i="1"/>
  <c r="AY400" i="1" s="1"/>
  <c r="AY401" i="1" s="1"/>
  <c r="AY402" i="1" s="1"/>
  <c r="AY403" i="1" s="1"/>
  <c r="AY404" i="1" s="1"/>
  <c r="AY405" i="1" s="1"/>
  <c r="AY406" i="1" s="1"/>
  <c r="AY407" i="1" s="1"/>
  <c r="AY408" i="1" s="1"/>
  <c r="AF398" i="1"/>
  <c r="AF399" i="1" s="1"/>
  <c r="AF400" i="1" s="1"/>
  <c r="AF401" i="1" s="1"/>
  <c r="AF402" i="1" s="1"/>
  <c r="AF403" i="1" s="1"/>
  <c r="AF404" i="1" s="1"/>
  <c r="AF405" i="1" s="1"/>
  <c r="AF406" i="1" s="1"/>
  <c r="AF407" i="1" s="1"/>
  <c r="AF408" i="1" s="1"/>
  <c r="AL400" i="1"/>
  <c r="AR399" i="1"/>
  <c r="AC398" i="1"/>
  <c r="AU398" i="1" s="1"/>
  <c r="AJ398" i="1" s="1"/>
  <c r="AJ399" i="1" s="1"/>
  <c r="AJ400" i="1" s="1"/>
  <c r="AJ401" i="1" s="1"/>
  <c r="AJ402" i="1" s="1"/>
  <c r="AJ403" i="1" s="1"/>
  <c r="AJ404" i="1" s="1"/>
  <c r="AJ405" i="1" s="1"/>
  <c r="AJ406" i="1" s="1"/>
  <c r="AJ407" i="1" s="1"/>
  <c r="AJ408" i="1" s="1"/>
  <c r="AS398" i="1"/>
  <c r="AT398" i="1" s="1"/>
  <c r="AK398" i="1" s="1"/>
  <c r="AK399" i="1" s="1"/>
  <c r="AK400" i="1" s="1"/>
  <c r="AK401" i="1" s="1"/>
  <c r="AK402" i="1" s="1"/>
  <c r="AK403" i="1" s="1"/>
  <c r="AK404" i="1" s="1"/>
  <c r="AK405" i="1" s="1"/>
  <c r="AK406" i="1" s="1"/>
  <c r="AK407" i="1" s="1"/>
  <c r="AK408" i="1" s="1"/>
  <c r="AC386" i="1"/>
  <c r="AU386" i="1" s="1"/>
  <c r="AJ386" i="1" s="1"/>
  <c r="AJ387" i="1" s="1"/>
  <c r="AJ388" i="1" s="1"/>
  <c r="AJ389" i="1" s="1"/>
  <c r="AJ390" i="1" s="1"/>
  <c r="AJ391" i="1" s="1"/>
  <c r="AJ392" i="1" s="1"/>
  <c r="AJ393" i="1" s="1"/>
  <c r="AJ394" i="1" s="1"/>
  <c r="AJ395" i="1" s="1"/>
  <c r="AJ396" i="1" s="1"/>
  <c r="AS386" i="1"/>
  <c r="AT386" i="1" s="1"/>
  <c r="AK386" i="1" s="1"/>
  <c r="AK387" i="1" s="1"/>
  <c r="AK388" i="1" s="1"/>
  <c r="AK389" i="1" s="1"/>
  <c r="AK390" i="1" s="1"/>
  <c r="AK391" i="1" s="1"/>
  <c r="AK392" i="1" s="1"/>
  <c r="AK393" i="1" s="1"/>
  <c r="AK394" i="1" s="1"/>
  <c r="AK395" i="1" s="1"/>
  <c r="AK396" i="1" s="1"/>
  <c r="AY387" i="1"/>
  <c r="AY388" i="1" s="1"/>
  <c r="AY389" i="1" s="1"/>
  <c r="AY390" i="1" s="1"/>
  <c r="AY391" i="1" s="1"/>
  <c r="AY392" i="1" s="1"/>
  <c r="AY393" i="1" s="1"/>
  <c r="AY394" i="1" s="1"/>
  <c r="AY395" i="1" s="1"/>
  <c r="AY396" i="1" s="1"/>
  <c r="AF386" i="1"/>
  <c r="AF387" i="1" s="1"/>
  <c r="AF388" i="1" s="1"/>
  <c r="AF389" i="1" s="1"/>
  <c r="AF390" i="1" s="1"/>
  <c r="AF391" i="1" s="1"/>
  <c r="AF392" i="1" s="1"/>
  <c r="AF393" i="1" s="1"/>
  <c r="AF394" i="1" s="1"/>
  <c r="AF395" i="1" s="1"/>
  <c r="AF396" i="1" s="1"/>
  <c r="AL389" i="1"/>
  <c r="AR388" i="1"/>
  <c r="AS374" i="1"/>
  <c r="AT374" i="1" s="1"/>
  <c r="AK374" i="1" s="1"/>
  <c r="AK375" i="1" s="1"/>
  <c r="AK376" i="1" s="1"/>
  <c r="AK377" i="1" s="1"/>
  <c r="AK378" i="1" s="1"/>
  <c r="AK379" i="1" s="1"/>
  <c r="AK380" i="1" s="1"/>
  <c r="AK381" i="1" s="1"/>
  <c r="AK382" i="1" s="1"/>
  <c r="AK383" i="1" s="1"/>
  <c r="AK384" i="1" s="1"/>
  <c r="AC374" i="1"/>
  <c r="AU374" i="1" s="1"/>
  <c r="AJ374" i="1" s="1"/>
  <c r="AJ375" i="1" s="1"/>
  <c r="AJ376" i="1" s="1"/>
  <c r="AJ377" i="1" s="1"/>
  <c r="AJ378" i="1" s="1"/>
  <c r="AJ379" i="1" s="1"/>
  <c r="AJ380" i="1" s="1"/>
  <c r="AJ381" i="1" s="1"/>
  <c r="AJ382" i="1" s="1"/>
  <c r="AJ383" i="1" s="1"/>
  <c r="AJ384" i="1" s="1"/>
  <c r="AY375" i="1"/>
  <c r="AY376" i="1" s="1"/>
  <c r="AY377" i="1" s="1"/>
  <c r="AY378" i="1" s="1"/>
  <c r="AY379" i="1" s="1"/>
  <c r="AY380" i="1" s="1"/>
  <c r="AY381" i="1" s="1"/>
  <c r="AY382" i="1" s="1"/>
  <c r="AY383" i="1" s="1"/>
  <c r="AY384" i="1" s="1"/>
  <c r="AF374" i="1"/>
  <c r="AF375" i="1" s="1"/>
  <c r="AF376" i="1" s="1"/>
  <c r="AF377" i="1" s="1"/>
  <c r="AF378" i="1" s="1"/>
  <c r="AF379" i="1" s="1"/>
  <c r="AF380" i="1" s="1"/>
  <c r="AF381" i="1" s="1"/>
  <c r="AF382" i="1" s="1"/>
  <c r="AF383" i="1" s="1"/>
  <c r="AF384" i="1" s="1"/>
  <c r="AL376" i="1"/>
  <c r="AR375" i="1"/>
  <c r="AL365" i="1"/>
  <c r="AR364" i="1"/>
  <c r="AS362" i="1"/>
  <c r="AT362" i="1" s="1"/>
  <c r="AK362" i="1" s="1"/>
  <c r="AK363" i="1" s="1"/>
  <c r="AK364" i="1" s="1"/>
  <c r="AK365" i="1" s="1"/>
  <c r="AK366" i="1" s="1"/>
  <c r="AK367" i="1" s="1"/>
  <c r="AK368" i="1" s="1"/>
  <c r="AK369" i="1" s="1"/>
  <c r="AK370" i="1" s="1"/>
  <c r="AK371" i="1" s="1"/>
  <c r="AK372" i="1" s="1"/>
  <c r="AC362" i="1"/>
  <c r="AU362" i="1" s="1"/>
  <c r="AJ362" i="1" s="1"/>
  <c r="AJ363" i="1" s="1"/>
  <c r="AJ364" i="1" s="1"/>
  <c r="AJ365" i="1" s="1"/>
  <c r="AJ366" i="1" s="1"/>
  <c r="AJ367" i="1" s="1"/>
  <c r="AJ368" i="1" s="1"/>
  <c r="AJ369" i="1" s="1"/>
  <c r="AJ370" i="1" s="1"/>
  <c r="AJ371" i="1" s="1"/>
  <c r="AJ372" i="1" s="1"/>
  <c r="AY363" i="1"/>
  <c r="AY364" i="1" s="1"/>
  <c r="AY365" i="1" s="1"/>
  <c r="AY366" i="1" s="1"/>
  <c r="AY367" i="1" s="1"/>
  <c r="AY368" i="1" s="1"/>
  <c r="AY369" i="1" s="1"/>
  <c r="AY370" i="1" s="1"/>
  <c r="AY371" i="1" s="1"/>
  <c r="AY372" i="1" s="1"/>
  <c r="AF362" i="1"/>
  <c r="AF363" i="1" s="1"/>
  <c r="AF364" i="1" s="1"/>
  <c r="AF365" i="1" s="1"/>
  <c r="AF366" i="1" s="1"/>
  <c r="AF367" i="1" s="1"/>
  <c r="AF368" i="1" s="1"/>
  <c r="AF369" i="1" s="1"/>
  <c r="AF370" i="1" s="1"/>
  <c r="AF371" i="1" s="1"/>
  <c r="AF372" i="1" s="1"/>
  <c r="AS350" i="1"/>
  <c r="AT350" i="1" s="1"/>
  <c r="AK350" i="1" s="1"/>
  <c r="AK351" i="1" s="1"/>
  <c r="AK352" i="1" s="1"/>
  <c r="AK353" i="1" s="1"/>
  <c r="AK354" i="1" s="1"/>
  <c r="AK355" i="1" s="1"/>
  <c r="AK356" i="1" s="1"/>
  <c r="AK357" i="1" s="1"/>
  <c r="AK358" i="1" s="1"/>
  <c r="AK359" i="1" s="1"/>
  <c r="AK360" i="1" s="1"/>
  <c r="AC350" i="1"/>
  <c r="AU350" i="1" s="1"/>
  <c r="AJ350" i="1" s="1"/>
  <c r="AJ351" i="1" s="1"/>
  <c r="AJ352" i="1" s="1"/>
  <c r="AJ353" i="1" s="1"/>
  <c r="AJ354" i="1" s="1"/>
  <c r="AJ355" i="1" s="1"/>
  <c r="AJ356" i="1" s="1"/>
  <c r="AJ357" i="1" s="1"/>
  <c r="AJ358" i="1" s="1"/>
  <c r="AJ359" i="1" s="1"/>
  <c r="AJ360" i="1" s="1"/>
  <c r="AY351" i="1"/>
  <c r="AY352" i="1" s="1"/>
  <c r="AY353" i="1" s="1"/>
  <c r="AY354" i="1" s="1"/>
  <c r="AY355" i="1" s="1"/>
  <c r="AY356" i="1" s="1"/>
  <c r="AY357" i="1" s="1"/>
  <c r="AY358" i="1" s="1"/>
  <c r="AY359" i="1" s="1"/>
  <c r="AY360" i="1" s="1"/>
  <c r="AF350" i="1"/>
  <c r="AF351" i="1" s="1"/>
  <c r="AF352" i="1" s="1"/>
  <c r="AF353" i="1" s="1"/>
  <c r="AF354" i="1" s="1"/>
  <c r="AF355" i="1" s="1"/>
  <c r="AF356" i="1" s="1"/>
  <c r="AF357" i="1" s="1"/>
  <c r="AF358" i="1" s="1"/>
  <c r="AF359" i="1" s="1"/>
  <c r="AF360" i="1" s="1"/>
  <c r="AL352" i="1"/>
  <c r="AR351" i="1"/>
  <c r="AK338" i="1"/>
  <c r="AK339" i="1" s="1"/>
  <c r="AK340" i="1" s="1"/>
  <c r="AK341" i="1" s="1"/>
  <c r="AK342" i="1" s="1"/>
  <c r="AK343" i="1" s="1"/>
  <c r="AK344" i="1" s="1"/>
  <c r="AK345" i="1" s="1"/>
  <c r="AK346" i="1" s="1"/>
  <c r="AK347" i="1" s="1"/>
  <c r="AK348" i="1" s="1"/>
  <c r="AL338" i="1"/>
  <c r="AS326" i="1"/>
  <c r="AT326" i="1" s="1"/>
  <c r="AC326" i="1"/>
  <c r="AU326" i="1" s="1"/>
  <c r="AJ326" i="1" s="1"/>
  <c r="AJ327" i="1" s="1"/>
  <c r="AJ328" i="1" s="1"/>
  <c r="AJ329" i="1" s="1"/>
  <c r="AJ330" i="1" s="1"/>
  <c r="AJ331" i="1" s="1"/>
  <c r="AJ332" i="1" s="1"/>
  <c r="AJ333" i="1" s="1"/>
  <c r="AJ334" i="1" s="1"/>
  <c r="AJ335" i="1" s="1"/>
  <c r="AJ336" i="1" s="1"/>
  <c r="AY327" i="1"/>
  <c r="AY328" i="1" s="1"/>
  <c r="AY329" i="1" s="1"/>
  <c r="AY330" i="1" s="1"/>
  <c r="AY331" i="1" s="1"/>
  <c r="AY332" i="1" s="1"/>
  <c r="AY333" i="1" s="1"/>
  <c r="AY334" i="1" s="1"/>
  <c r="AY335" i="1" s="1"/>
  <c r="AY336" i="1" s="1"/>
  <c r="AF326" i="1"/>
  <c r="AF327" i="1" s="1"/>
  <c r="AF328" i="1" s="1"/>
  <c r="AF329" i="1" s="1"/>
  <c r="AF330" i="1" s="1"/>
  <c r="AF331" i="1" s="1"/>
  <c r="AF332" i="1" s="1"/>
  <c r="AF333" i="1" s="1"/>
  <c r="AF334" i="1" s="1"/>
  <c r="AF335" i="1" s="1"/>
  <c r="AF336" i="1" s="1"/>
  <c r="AS314" i="1"/>
  <c r="AT314" i="1" s="1"/>
  <c r="AC314" i="1"/>
  <c r="AU314" i="1" s="1"/>
  <c r="AJ314" i="1" s="1"/>
  <c r="AJ315" i="1" s="1"/>
  <c r="AJ316" i="1" s="1"/>
  <c r="AJ317" i="1" s="1"/>
  <c r="AJ318" i="1" s="1"/>
  <c r="AJ319" i="1" s="1"/>
  <c r="AJ320" i="1" s="1"/>
  <c r="AJ321" i="1" s="1"/>
  <c r="AJ322" i="1" s="1"/>
  <c r="AJ323" i="1" s="1"/>
  <c r="AJ324" i="1" s="1"/>
  <c r="AY315" i="1"/>
  <c r="AY316" i="1" s="1"/>
  <c r="AY317" i="1" s="1"/>
  <c r="AY318" i="1" s="1"/>
  <c r="AY319" i="1" s="1"/>
  <c r="AY320" i="1" s="1"/>
  <c r="AY321" i="1" s="1"/>
  <c r="AY322" i="1" s="1"/>
  <c r="AY323" i="1" s="1"/>
  <c r="AY324" i="1" s="1"/>
  <c r="AF314" i="1"/>
  <c r="AF315" i="1" s="1"/>
  <c r="AF316" i="1" s="1"/>
  <c r="AF317" i="1" s="1"/>
  <c r="AF318" i="1" s="1"/>
  <c r="AF319" i="1" s="1"/>
  <c r="AF320" i="1" s="1"/>
  <c r="AF321" i="1" s="1"/>
  <c r="AF322" i="1" s="1"/>
  <c r="AF323" i="1" s="1"/>
  <c r="AF324" i="1" s="1"/>
  <c r="AY303" i="1"/>
  <c r="AY304" i="1" s="1"/>
  <c r="AY305" i="1" s="1"/>
  <c r="AY306" i="1" s="1"/>
  <c r="AY307" i="1" s="1"/>
  <c r="AY308" i="1" s="1"/>
  <c r="AY309" i="1" s="1"/>
  <c r="AY310" i="1" s="1"/>
  <c r="AY311" i="1" s="1"/>
  <c r="AY312" i="1" s="1"/>
  <c r="AF302" i="1"/>
  <c r="AF303" i="1" s="1"/>
  <c r="AF304" i="1" s="1"/>
  <c r="AF305" i="1" s="1"/>
  <c r="AF306" i="1" s="1"/>
  <c r="AF307" i="1" s="1"/>
  <c r="AF308" i="1" s="1"/>
  <c r="AF309" i="1" s="1"/>
  <c r="AF310" i="1" s="1"/>
  <c r="AF311" i="1" s="1"/>
  <c r="AF312" i="1" s="1"/>
  <c r="AS302" i="1"/>
  <c r="AT302" i="1" s="1"/>
  <c r="AC302" i="1"/>
  <c r="AU302" i="1" s="1"/>
  <c r="AJ302" i="1" s="1"/>
  <c r="AJ303" i="1" s="1"/>
  <c r="AJ304" i="1" s="1"/>
  <c r="AJ305" i="1" s="1"/>
  <c r="AJ306" i="1" s="1"/>
  <c r="AJ307" i="1" s="1"/>
  <c r="AJ308" i="1" s="1"/>
  <c r="AJ309" i="1" s="1"/>
  <c r="AJ310" i="1" s="1"/>
  <c r="AJ311" i="1" s="1"/>
  <c r="AJ312" i="1" s="1"/>
  <c r="AS290" i="1"/>
  <c r="AT290" i="1" s="1"/>
  <c r="AC290" i="1"/>
  <c r="AU290" i="1" s="1"/>
  <c r="AJ290" i="1" s="1"/>
  <c r="AJ291" i="1" s="1"/>
  <c r="AJ292" i="1" s="1"/>
  <c r="AJ293" i="1" s="1"/>
  <c r="AJ294" i="1" s="1"/>
  <c r="AJ295" i="1" s="1"/>
  <c r="AJ296" i="1" s="1"/>
  <c r="AJ297" i="1" s="1"/>
  <c r="AJ298" i="1" s="1"/>
  <c r="AJ299" i="1" s="1"/>
  <c r="AJ300" i="1" s="1"/>
  <c r="AY291" i="1"/>
  <c r="AY292" i="1" s="1"/>
  <c r="AY293" i="1" s="1"/>
  <c r="AY294" i="1" s="1"/>
  <c r="AY295" i="1" s="1"/>
  <c r="AY296" i="1" s="1"/>
  <c r="AY297" i="1" s="1"/>
  <c r="AY298" i="1" s="1"/>
  <c r="AY299" i="1" s="1"/>
  <c r="AY300" i="1" s="1"/>
  <c r="AF290" i="1"/>
  <c r="AF291" i="1" s="1"/>
  <c r="AF292" i="1" s="1"/>
  <c r="AF293" i="1" s="1"/>
  <c r="AF294" i="1" s="1"/>
  <c r="AF295" i="1" s="1"/>
  <c r="AF296" i="1" s="1"/>
  <c r="AF297" i="1" s="1"/>
  <c r="AF298" i="1" s="1"/>
  <c r="AF299" i="1" s="1"/>
  <c r="AF300" i="1" s="1"/>
  <c r="AC278" i="1"/>
  <c r="AU278" i="1" s="1"/>
  <c r="AJ278" i="1" s="1"/>
  <c r="AJ279" i="1" s="1"/>
  <c r="AJ280" i="1" s="1"/>
  <c r="AJ281" i="1" s="1"/>
  <c r="AJ282" i="1" s="1"/>
  <c r="AJ283" i="1" s="1"/>
  <c r="AJ284" i="1" s="1"/>
  <c r="AJ285" i="1" s="1"/>
  <c r="AJ286" i="1" s="1"/>
  <c r="AJ287" i="1" s="1"/>
  <c r="AJ288" i="1" s="1"/>
  <c r="AS278" i="1"/>
  <c r="AT278" i="1" s="1"/>
  <c r="AK278" i="1" s="1"/>
  <c r="AK279" i="1" s="1"/>
  <c r="AK280" i="1" s="1"/>
  <c r="AK281" i="1" s="1"/>
  <c r="AK282" i="1" s="1"/>
  <c r="AK283" i="1" s="1"/>
  <c r="AK284" i="1" s="1"/>
  <c r="AK285" i="1" s="1"/>
  <c r="AK286" i="1" s="1"/>
  <c r="AK287" i="1" s="1"/>
  <c r="AK288" i="1" s="1"/>
  <c r="AY279" i="1"/>
  <c r="AY280" i="1" s="1"/>
  <c r="AY281" i="1" s="1"/>
  <c r="AY282" i="1" s="1"/>
  <c r="AY283" i="1" s="1"/>
  <c r="AY284" i="1" s="1"/>
  <c r="AY285" i="1" s="1"/>
  <c r="AY286" i="1" s="1"/>
  <c r="AY287" i="1" s="1"/>
  <c r="AY288" i="1" s="1"/>
  <c r="AF278" i="1"/>
  <c r="AF279" i="1" s="1"/>
  <c r="AF280" i="1" s="1"/>
  <c r="AF281" i="1" s="1"/>
  <c r="AF282" i="1" s="1"/>
  <c r="AF283" i="1" s="1"/>
  <c r="AF284" i="1" s="1"/>
  <c r="AF285" i="1" s="1"/>
  <c r="AF286" i="1" s="1"/>
  <c r="AF287" i="1" s="1"/>
  <c r="AF288" i="1" s="1"/>
  <c r="AL280" i="1"/>
  <c r="AR279" i="1"/>
  <c r="AS266" i="1"/>
  <c r="AT266" i="1" s="1"/>
  <c r="AK266" i="1" s="1"/>
  <c r="AK267" i="1" s="1"/>
  <c r="AK268" i="1" s="1"/>
  <c r="AK269" i="1" s="1"/>
  <c r="AK270" i="1" s="1"/>
  <c r="AK271" i="1" s="1"/>
  <c r="AK272" i="1" s="1"/>
  <c r="AK273" i="1" s="1"/>
  <c r="AK274" i="1" s="1"/>
  <c r="AK275" i="1" s="1"/>
  <c r="AK276" i="1" s="1"/>
  <c r="AC266" i="1"/>
  <c r="AU266" i="1" s="1"/>
  <c r="AJ266" i="1" s="1"/>
  <c r="AJ267" i="1" s="1"/>
  <c r="AJ268" i="1" s="1"/>
  <c r="AJ269" i="1" s="1"/>
  <c r="AJ270" i="1" s="1"/>
  <c r="AJ271" i="1" s="1"/>
  <c r="AJ272" i="1" s="1"/>
  <c r="AJ273" i="1" s="1"/>
  <c r="AJ274" i="1" s="1"/>
  <c r="AJ275" i="1" s="1"/>
  <c r="AJ276" i="1" s="1"/>
  <c r="AL269" i="1"/>
  <c r="AR268" i="1"/>
  <c r="AY267" i="1"/>
  <c r="AY268" i="1" s="1"/>
  <c r="AY269" i="1" s="1"/>
  <c r="AY270" i="1" s="1"/>
  <c r="AY271" i="1" s="1"/>
  <c r="AY272" i="1" s="1"/>
  <c r="AY273" i="1" s="1"/>
  <c r="AY274" i="1" s="1"/>
  <c r="AY275" i="1" s="1"/>
  <c r="AY276" i="1" s="1"/>
  <c r="AF266" i="1"/>
  <c r="AF267" i="1" s="1"/>
  <c r="AF268" i="1" s="1"/>
  <c r="AF269" i="1" s="1"/>
  <c r="AF270" i="1" s="1"/>
  <c r="AF271" i="1" s="1"/>
  <c r="AF272" i="1" s="1"/>
  <c r="AF273" i="1" s="1"/>
  <c r="AF274" i="1" s="1"/>
  <c r="AF275" i="1" s="1"/>
  <c r="AF276" i="1" s="1"/>
  <c r="AS254" i="1"/>
  <c r="AT254" i="1" s="1"/>
  <c r="AK254" i="1" s="1"/>
  <c r="AK255" i="1" s="1"/>
  <c r="AK256" i="1" s="1"/>
  <c r="AK257" i="1" s="1"/>
  <c r="AK258" i="1" s="1"/>
  <c r="AK259" i="1" s="1"/>
  <c r="AK260" i="1" s="1"/>
  <c r="AK261" i="1" s="1"/>
  <c r="AK262" i="1" s="1"/>
  <c r="AK263" i="1" s="1"/>
  <c r="AK264" i="1" s="1"/>
  <c r="AC254" i="1"/>
  <c r="AU254" i="1" s="1"/>
  <c r="AJ254" i="1" s="1"/>
  <c r="AJ255" i="1" s="1"/>
  <c r="AJ256" i="1" s="1"/>
  <c r="AJ257" i="1" s="1"/>
  <c r="AJ258" i="1" s="1"/>
  <c r="AJ259" i="1" s="1"/>
  <c r="AJ260" i="1" s="1"/>
  <c r="AJ261" i="1" s="1"/>
  <c r="AJ262" i="1" s="1"/>
  <c r="AJ263" i="1" s="1"/>
  <c r="AJ264" i="1" s="1"/>
  <c r="AY255" i="1"/>
  <c r="AY256" i="1" s="1"/>
  <c r="AY257" i="1" s="1"/>
  <c r="AY258" i="1" s="1"/>
  <c r="AY259" i="1" s="1"/>
  <c r="AY260" i="1" s="1"/>
  <c r="AY261" i="1" s="1"/>
  <c r="AY262" i="1" s="1"/>
  <c r="AY263" i="1" s="1"/>
  <c r="AY264" i="1" s="1"/>
  <c r="AF254" i="1"/>
  <c r="AF255" i="1" s="1"/>
  <c r="AF256" i="1" s="1"/>
  <c r="AF257" i="1" s="1"/>
  <c r="AF258" i="1" s="1"/>
  <c r="AF259" i="1" s="1"/>
  <c r="AF260" i="1" s="1"/>
  <c r="AF261" i="1" s="1"/>
  <c r="AF262" i="1" s="1"/>
  <c r="AF263" i="1" s="1"/>
  <c r="AF264" i="1" s="1"/>
  <c r="AL256" i="1"/>
  <c r="AR255" i="1"/>
  <c r="AL244" i="1"/>
  <c r="AR243" i="1"/>
  <c r="AS242" i="1"/>
  <c r="AT242" i="1" s="1"/>
  <c r="AK242" i="1" s="1"/>
  <c r="AK243" i="1" s="1"/>
  <c r="AK244" i="1" s="1"/>
  <c r="AK245" i="1" s="1"/>
  <c r="AK246" i="1" s="1"/>
  <c r="AK247" i="1" s="1"/>
  <c r="AK248" i="1" s="1"/>
  <c r="AK249" i="1" s="1"/>
  <c r="AK250" i="1" s="1"/>
  <c r="AK251" i="1" s="1"/>
  <c r="AK252" i="1" s="1"/>
  <c r="AC242" i="1"/>
  <c r="AU242" i="1" s="1"/>
  <c r="AJ242" i="1" s="1"/>
  <c r="AJ243" i="1" s="1"/>
  <c r="AJ244" i="1" s="1"/>
  <c r="AJ245" i="1" s="1"/>
  <c r="AJ246" i="1" s="1"/>
  <c r="AJ247" i="1" s="1"/>
  <c r="AJ248" i="1" s="1"/>
  <c r="AJ249" i="1" s="1"/>
  <c r="AJ250" i="1" s="1"/>
  <c r="AJ251" i="1" s="1"/>
  <c r="AJ252" i="1" s="1"/>
  <c r="AY243" i="1"/>
  <c r="AY244" i="1" s="1"/>
  <c r="AY245" i="1" s="1"/>
  <c r="AY246" i="1" s="1"/>
  <c r="AY247" i="1" s="1"/>
  <c r="AY248" i="1" s="1"/>
  <c r="AY249" i="1" s="1"/>
  <c r="AY250" i="1" s="1"/>
  <c r="AY251" i="1" s="1"/>
  <c r="AY252" i="1" s="1"/>
  <c r="AF242" i="1"/>
  <c r="AF243" i="1" s="1"/>
  <c r="AF244" i="1" s="1"/>
  <c r="AF245" i="1" s="1"/>
  <c r="AF246" i="1" s="1"/>
  <c r="AF247" i="1" s="1"/>
  <c r="AF248" i="1" s="1"/>
  <c r="AF249" i="1" s="1"/>
  <c r="AF250" i="1" s="1"/>
  <c r="AF251" i="1" s="1"/>
  <c r="AF252" i="1" s="1"/>
  <c r="AL232" i="1"/>
  <c r="AR231" i="1"/>
  <c r="AS230" i="1"/>
  <c r="AT230" i="1" s="1"/>
  <c r="AK230" i="1" s="1"/>
  <c r="AK231" i="1" s="1"/>
  <c r="AK232" i="1" s="1"/>
  <c r="AK233" i="1" s="1"/>
  <c r="AK234" i="1" s="1"/>
  <c r="AK235" i="1" s="1"/>
  <c r="AK236" i="1" s="1"/>
  <c r="AK237" i="1" s="1"/>
  <c r="AK238" i="1" s="1"/>
  <c r="AK239" i="1" s="1"/>
  <c r="AK240" i="1" s="1"/>
  <c r="AC230" i="1"/>
  <c r="AU230" i="1" s="1"/>
  <c r="AJ230" i="1" s="1"/>
  <c r="AJ231" i="1" s="1"/>
  <c r="AJ232" i="1" s="1"/>
  <c r="AJ233" i="1" s="1"/>
  <c r="AJ234" i="1" s="1"/>
  <c r="AJ235" i="1" s="1"/>
  <c r="AJ236" i="1" s="1"/>
  <c r="AJ237" i="1" s="1"/>
  <c r="AJ238" i="1" s="1"/>
  <c r="AJ239" i="1" s="1"/>
  <c r="AJ240" i="1" s="1"/>
  <c r="AY231" i="1"/>
  <c r="AY232" i="1" s="1"/>
  <c r="AY233" i="1" s="1"/>
  <c r="AY234" i="1" s="1"/>
  <c r="AY235" i="1" s="1"/>
  <c r="AY236" i="1" s="1"/>
  <c r="AY237" i="1" s="1"/>
  <c r="AY238" i="1" s="1"/>
  <c r="AY239" i="1" s="1"/>
  <c r="AY240" i="1" s="1"/>
  <c r="AF230" i="1"/>
  <c r="AF231" i="1" s="1"/>
  <c r="AF232" i="1" s="1"/>
  <c r="AF233" i="1" s="1"/>
  <c r="AF234" i="1" s="1"/>
  <c r="AF235" i="1" s="1"/>
  <c r="AF236" i="1" s="1"/>
  <c r="AF237" i="1" s="1"/>
  <c r="AF238" i="1" s="1"/>
  <c r="AF239" i="1" s="1"/>
  <c r="AF240" i="1" s="1"/>
  <c r="AC218" i="1"/>
  <c r="AU218" i="1" s="1"/>
  <c r="AJ218" i="1" s="1"/>
  <c r="AJ219" i="1" s="1"/>
  <c r="AJ220" i="1" s="1"/>
  <c r="AJ221" i="1" s="1"/>
  <c r="AJ222" i="1" s="1"/>
  <c r="AJ223" i="1" s="1"/>
  <c r="AJ224" i="1" s="1"/>
  <c r="AJ225" i="1" s="1"/>
  <c r="AJ226" i="1" s="1"/>
  <c r="AJ227" i="1" s="1"/>
  <c r="AJ228" i="1" s="1"/>
  <c r="AS218" i="1"/>
  <c r="AT218" i="1" s="1"/>
  <c r="AK218" i="1" s="1"/>
  <c r="AK219" i="1" s="1"/>
  <c r="AK220" i="1" s="1"/>
  <c r="AK221" i="1" s="1"/>
  <c r="AK222" i="1" s="1"/>
  <c r="AK223" i="1" s="1"/>
  <c r="AK224" i="1" s="1"/>
  <c r="AK225" i="1" s="1"/>
  <c r="AK226" i="1" s="1"/>
  <c r="AK227" i="1" s="1"/>
  <c r="AK228" i="1" s="1"/>
  <c r="AL220" i="1"/>
  <c r="AR219" i="1"/>
  <c r="AY219" i="1"/>
  <c r="AY220" i="1" s="1"/>
  <c r="AY221" i="1" s="1"/>
  <c r="AY222" i="1" s="1"/>
  <c r="AY223" i="1" s="1"/>
  <c r="AY224" i="1" s="1"/>
  <c r="AY225" i="1" s="1"/>
  <c r="AY226" i="1" s="1"/>
  <c r="AY227" i="1" s="1"/>
  <c r="AY228" i="1" s="1"/>
  <c r="AF218" i="1"/>
  <c r="AF219" i="1" s="1"/>
  <c r="AF220" i="1" s="1"/>
  <c r="AF221" i="1" s="1"/>
  <c r="AF222" i="1" s="1"/>
  <c r="AF223" i="1" s="1"/>
  <c r="AF224" i="1" s="1"/>
  <c r="AF225" i="1" s="1"/>
  <c r="AF226" i="1" s="1"/>
  <c r="AF227" i="1" s="1"/>
  <c r="AF228" i="1" s="1"/>
  <c r="AS206" i="1"/>
  <c r="AT206" i="1" s="1"/>
  <c r="AK206" i="1" s="1"/>
  <c r="AK207" i="1" s="1"/>
  <c r="AK208" i="1" s="1"/>
  <c r="AK209" i="1" s="1"/>
  <c r="AK210" i="1" s="1"/>
  <c r="AK211" i="1" s="1"/>
  <c r="AK212" i="1" s="1"/>
  <c r="AK213" i="1" s="1"/>
  <c r="AK214" i="1" s="1"/>
  <c r="AK215" i="1" s="1"/>
  <c r="AK216" i="1" s="1"/>
  <c r="AC206" i="1"/>
  <c r="AU206" i="1" s="1"/>
  <c r="AJ206" i="1" s="1"/>
  <c r="AJ207" i="1" s="1"/>
  <c r="AJ208" i="1" s="1"/>
  <c r="AJ209" i="1" s="1"/>
  <c r="AJ210" i="1" s="1"/>
  <c r="AJ211" i="1" s="1"/>
  <c r="AJ212" i="1" s="1"/>
  <c r="AJ213" i="1" s="1"/>
  <c r="AJ214" i="1" s="1"/>
  <c r="AJ215" i="1" s="1"/>
  <c r="AJ216" i="1" s="1"/>
  <c r="AY207" i="1"/>
  <c r="AY208" i="1" s="1"/>
  <c r="AY209" i="1" s="1"/>
  <c r="AY210" i="1" s="1"/>
  <c r="AY211" i="1" s="1"/>
  <c r="AY212" i="1" s="1"/>
  <c r="AY213" i="1" s="1"/>
  <c r="AY214" i="1" s="1"/>
  <c r="AY215" i="1" s="1"/>
  <c r="AY216" i="1" s="1"/>
  <c r="AF206" i="1"/>
  <c r="AF207" i="1" s="1"/>
  <c r="AF208" i="1" s="1"/>
  <c r="AF209" i="1" s="1"/>
  <c r="AF210" i="1" s="1"/>
  <c r="AF211" i="1" s="1"/>
  <c r="AF212" i="1" s="1"/>
  <c r="AF213" i="1" s="1"/>
  <c r="AF214" i="1" s="1"/>
  <c r="AF215" i="1" s="1"/>
  <c r="AF216" i="1" s="1"/>
  <c r="AL208" i="1"/>
  <c r="AR207" i="1"/>
  <c r="AS194" i="1"/>
  <c r="AT194" i="1" s="1"/>
  <c r="AK194" i="1" s="1"/>
  <c r="AK195" i="1" s="1"/>
  <c r="AK196" i="1" s="1"/>
  <c r="AK197" i="1" s="1"/>
  <c r="AK198" i="1" s="1"/>
  <c r="AK199" i="1" s="1"/>
  <c r="AK200" i="1" s="1"/>
  <c r="AK201" i="1" s="1"/>
  <c r="AK202" i="1" s="1"/>
  <c r="AK203" i="1" s="1"/>
  <c r="AK204" i="1" s="1"/>
  <c r="AC194" i="1"/>
  <c r="AU194" i="1" s="1"/>
  <c r="AJ194" i="1" s="1"/>
  <c r="AJ195" i="1" s="1"/>
  <c r="AJ196" i="1" s="1"/>
  <c r="AJ197" i="1" s="1"/>
  <c r="AJ198" i="1" s="1"/>
  <c r="AJ199" i="1" s="1"/>
  <c r="AJ200" i="1" s="1"/>
  <c r="AJ201" i="1" s="1"/>
  <c r="AJ202" i="1" s="1"/>
  <c r="AJ203" i="1" s="1"/>
  <c r="AJ204" i="1" s="1"/>
  <c r="AY195" i="1"/>
  <c r="AY196" i="1" s="1"/>
  <c r="AY197" i="1" s="1"/>
  <c r="AY198" i="1" s="1"/>
  <c r="AY199" i="1" s="1"/>
  <c r="AY200" i="1" s="1"/>
  <c r="AY201" i="1" s="1"/>
  <c r="AY202" i="1" s="1"/>
  <c r="AY203" i="1" s="1"/>
  <c r="AY204" i="1" s="1"/>
  <c r="AF194" i="1"/>
  <c r="AF195" i="1" s="1"/>
  <c r="AF196" i="1" s="1"/>
  <c r="AF197" i="1" s="1"/>
  <c r="AF198" i="1" s="1"/>
  <c r="AF199" i="1" s="1"/>
  <c r="AF200" i="1" s="1"/>
  <c r="AF201" i="1" s="1"/>
  <c r="AF202" i="1" s="1"/>
  <c r="AF203" i="1" s="1"/>
  <c r="AF204" i="1" s="1"/>
  <c r="AL196" i="1"/>
  <c r="AR195" i="1"/>
  <c r="AC182" i="1"/>
  <c r="AU182" i="1" s="1"/>
  <c r="AJ182" i="1" s="1"/>
  <c r="AJ183" i="1" s="1"/>
  <c r="AJ184" i="1" s="1"/>
  <c r="AJ185" i="1" s="1"/>
  <c r="AJ186" i="1" s="1"/>
  <c r="AJ187" i="1" s="1"/>
  <c r="AJ188" i="1" s="1"/>
  <c r="AJ189" i="1" s="1"/>
  <c r="AJ190" i="1" s="1"/>
  <c r="AJ191" i="1" s="1"/>
  <c r="AJ192" i="1" s="1"/>
  <c r="AS182" i="1"/>
  <c r="AT182" i="1" s="1"/>
  <c r="AY183" i="1"/>
  <c r="AY184" i="1" s="1"/>
  <c r="AY185" i="1" s="1"/>
  <c r="AY186" i="1" s="1"/>
  <c r="AY187" i="1" s="1"/>
  <c r="AY188" i="1" s="1"/>
  <c r="AY189" i="1" s="1"/>
  <c r="AY190" i="1" s="1"/>
  <c r="AY191" i="1" s="1"/>
  <c r="AY192" i="1" s="1"/>
  <c r="AF182" i="1"/>
  <c r="AF183" i="1" s="1"/>
  <c r="AF184" i="1" s="1"/>
  <c r="AF185" i="1" s="1"/>
  <c r="AF186" i="1" s="1"/>
  <c r="AF187" i="1" s="1"/>
  <c r="AF188" i="1" s="1"/>
  <c r="AF189" i="1" s="1"/>
  <c r="AF190" i="1" s="1"/>
  <c r="AF191" i="1" s="1"/>
  <c r="AF192" i="1" s="1"/>
  <c r="AL172" i="1"/>
  <c r="AR171" i="1"/>
  <c r="AS170" i="1"/>
  <c r="AT170" i="1" s="1"/>
  <c r="AK170" i="1" s="1"/>
  <c r="AK171" i="1" s="1"/>
  <c r="AK172" i="1" s="1"/>
  <c r="AK173" i="1" s="1"/>
  <c r="AK174" i="1" s="1"/>
  <c r="AK175" i="1" s="1"/>
  <c r="AK176" i="1" s="1"/>
  <c r="AK177" i="1" s="1"/>
  <c r="AK178" i="1" s="1"/>
  <c r="AK179" i="1" s="1"/>
  <c r="AK180" i="1" s="1"/>
  <c r="AC170" i="1"/>
  <c r="AU170" i="1" s="1"/>
  <c r="AJ170" i="1" s="1"/>
  <c r="AJ171" i="1" s="1"/>
  <c r="AJ172" i="1" s="1"/>
  <c r="AJ173" i="1" s="1"/>
  <c r="AJ174" i="1" s="1"/>
  <c r="AJ175" i="1" s="1"/>
  <c r="AJ176" i="1" s="1"/>
  <c r="AJ177" i="1" s="1"/>
  <c r="AJ178" i="1" s="1"/>
  <c r="AJ179" i="1" s="1"/>
  <c r="AJ180" i="1" s="1"/>
  <c r="AY171" i="1"/>
  <c r="AY172" i="1" s="1"/>
  <c r="AY173" i="1" s="1"/>
  <c r="AY174" i="1" s="1"/>
  <c r="AY175" i="1" s="1"/>
  <c r="AY176" i="1" s="1"/>
  <c r="AY177" i="1" s="1"/>
  <c r="AY178" i="1" s="1"/>
  <c r="AY179" i="1" s="1"/>
  <c r="AY180" i="1" s="1"/>
  <c r="AF170" i="1"/>
  <c r="AF171" i="1" s="1"/>
  <c r="AF172" i="1" s="1"/>
  <c r="AF173" i="1" s="1"/>
  <c r="AF174" i="1" s="1"/>
  <c r="AF175" i="1" s="1"/>
  <c r="AF176" i="1" s="1"/>
  <c r="AF177" i="1" s="1"/>
  <c r="AF178" i="1" s="1"/>
  <c r="AF179" i="1" s="1"/>
  <c r="AF180" i="1" s="1"/>
  <c r="AC158" i="1"/>
  <c r="AU158" i="1" s="1"/>
  <c r="AJ158" i="1" s="1"/>
  <c r="AJ159" i="1" s="1"/>
  <c r="AJ160" i="1" s="1"/>
  <c r="AJ161" i="1" s="1"/>
  <c r="AJ162" i="1" s="1"/>
  <c r="AJ163" i="1" s="1"/>
  <c r="AJ164" i="1" s="1"/>
  <c r="AJ165" i="1" s="1"/>
  <c r="AJ166" i="1" s="1"/>
  <c r="AJ167" i="1" s="1"/>
  <c r="AJ168" i="1" s="1"/>
  <c r="AS158" i="1"/>
  <c r="AT158" i="1" s="1"/>
  <c r="AY159" i="1"/>
  <c r="AY160" i="1" s="1"/>
  <c r="AY161" i="1" s="1"/>
  <c r="AY162" i="1" s="1"/>
  <c r="AY163" i="1" s="1"/>
  <c r="AY164" i="1" s="1"/>
  <c r="AY165" i="1" s="1"/>
  <c r="AY166" i="1" s="1"/>
  <c r="AY167" i="1" s="1"/>
  <c r="AY168" i="1" s="1"/>
  <c r="AF158" i="1"/>
  <c r="AF159" i="1" s="1"/>
  <c r="AF160" i="1" s="1"/>
  <c r="AF161" i="1" s="1"/>
  <c r="AF162" i="1" s="1"/>
  <c r="AF163" i="1" s="1"/>
  <c r="AF164" i="1" s="1"/>
  <c r="AF165" i="1" s="1"/>
  <c r="AF166" i="1" s="1"/>
  <c r="AF167" i="1" s="1"/>
  <c r="AF168" i="1" s="1"/>
  <c r="AS146" i="1"/>
  <c r="AT146" i="1" s="1"/>
  <c r="AC146" i="1"/>
  <c r="AU146" i="1" s="1"/>
  <c r="AJ146" i="1" s="1"/>
  <c r="AJ147" i="1" s="1"/>
  <c r="AJ148" i="1" s="1"/>
  <c r="AJ149" i="1" s="1"/>
  <c r="AJ150" i="1" s="1"/>
  <c r="AJ151" i="1" s="1"/>
  <c r="AJ152" i="1" s="1"/>
  <c r="AJ153" i="1" s="1"/>
  <c r="AJ154" i="1" s="1"/>
  <c r="AJ155" i="1" s="1"/>
  <c r="AJ156" i="1" s="1"/>
  <c r="AY147" i="1"/>
  <c r="AY148" i="1" s="1"/>
  <c r="AY149" i="1" s="1"/>
  <c r="AY150" i="1" s="1"/>
  <c r="AY151" i="1" s="1"/>
  <c r="AY152" i="1" s="1"/>
  <c r="AY153" i="1" s="1"/>
  <c r="AY154" i="1" s="1"/>
  <c r="AY155" i="1" s="1"/>
  <c r="AY156" i="1" s="1"/>
  <c r="AF146" i="1"/>
  <c r="AF147" i="1" s="1"/>
  <c r="AF148" i="1" s="1"/>
  <c r="AF149" i="1" s="1"/>
  <c r="AF150" i="1" s="1"/>
  <c r="AF151" i="1" s="1"/>
  <c r="AF152" i="1" s="1"/>
  <c r="AF153" i="1" s="1"/>
  <c r="AF154" i="1" s="1"/>
  <c r="AF155" i="1" s="1"/>
  <c r="AF156" i="1" s="1"/>
  <c r="AC134" i="1"/>
  <c r="AU134" i="1" s="1"/>
  <c r="AJ134" i="1" s="1"/>
  <c r="AJ135" i="1" s="1"/>
  <c r="AJ136" i="1" s="1"/>
  <c r="AJ137" i="1" s="1"/>
  <c r="AJ138" i="1" s="1"/>
  <c r="AJ139" i="1" s="1"/>
  <c r="AJ140" i="1" s="1"/>
  <c r="AJ141" i="1" s="1"/>
  <c r="AJ142" i="1" s="1"/>
  <c r="AJ143" i="1" s="1"/>
  <c r="AJ144" i="1" s="1"/>
  <c r="AS134" i="1"/>
  <c r="AT134" i="1" s="1"/>
  <c r="AY135" i="1"/>
  <c r="AY136" i="1" s="1"/>
  <c r="AY137" i="1" s="1"/>
  <c r="AY138" i="1" s="1"/>
  <c r="AY139" i="1" s="1"/>
  <c r="AY140" i="1" s="1"/>
  <c r="AY141" i="1" s="1"/>
  <c r="AY142" i="1" s="1"/>
  <c r="AY143" i="1" s="1"/>
  <c r="AY144" i="1" s="1"/>
  <c r="AF134" i="1"/>
  <c r="AF135" i="1" s="1"/>
  <c r="AF136" i="1" s="1"/>
  <c r="AF137" i="1" s="1"/>
  <c r="AF138" i="1" s="1"/>
  <c r="AF139" i="1" s="1"/>
  <c r="AF140" i="1" s="1"/>
  <c r="AF141" i="1" s="1"/>
  <c r="AF142" i="1" s="1"/>
  <c r="AF143" i="1" s="1"/>
  <c r="AF144" i="1" s="1"/>
  <c r="AS122" i="1"/>
  <c r="AT122" i="1" s="1"/>
  <c r="AC122" i="1"/>
  <c r="AU122" i="1" s="1"/>
  <c r="AJ122" i="1" s="1"/>
  <c r="AJ123" i="1" s="1"/>
  <c r="AJ124" i="1" s="1"/>
  <c r="AJ125" i="1" s="1"/>
  <c r="AJ126" i="1" s="1"/>
  <c r="AJ127" i="1" s="1"/>
  <c r="AJ128" i="1" s="1"/>
  <c r="AJ129" i="1" s="1"/>
  <c r="AJ130" i="1" s="1"/>
  <c r="AJ131" i="1" s="1"/>
  <c r="AJ132" i="1" s="1"/>
  <c r="AY123" i="1"/>
  <c r="AY124" i="1" s="1"/>
  <c r="AY125" i="1" s="1"/>
  <c r="AY126" i="1" s="1"/>
  <c r="AY127" i="1" s="1"/>
  <c r="AY128" i="1" s="1"/>
  <c r="AY129" i="1" s="1"/>
  <c r="AY130" i="1" s="1"/>
  <c r="AY131" i="1" s="1"/>
  <c r="AY132" i="1" s="1"/>
  <c r="AF122" i="1"/>
  <c r="AF123" i="1" s="1"/>
  <c r="AF124" i="1" s="1"/>
  <c r="AF125" i="1" s="1"/>
  <c r="AF126" i="1" s="1"/>
  <c r="AF127" i="1" s="1"/>
  <c r="AF128" i="1" s="1"/>
  <c r="AF129" i="1" s="1"/>
  <c r="AF130" i="1" s="1"/>
  <c r="AF131" i="1" s="1"/>
  <c r="AF132" i="1" s="1"/>
  <c r="AS110" i="1"/>
  <c r="AT110" i="1" s="1"/>
  <c r="AK110" i="1" s="1"/>
  <c r="AK111" i="1" s="1"/>
  <c r="AK112" i="1" s="1"/>
  <c r="AK113" i="1" s="1"/>
  <c r="AK114" i="1" s="1"/>
  <c r="AK115" i="1" s="1"/>
  <c r="AK116" i="1" s="1"/>
  <c r="AK117" i="1" s="1"/>
  <c r="AK118" i="1" s="1"/>
  <c r="AK119" i="1" s="1"/>
  <c r="AK120" i="1" s="1"/>
  <c r="AC110" i="1"/>
  <c r="AU110" i="1" s="1"/>
  <c r="AJ110" i="1" s="1"/>
  <c r="AJ111" i="1" s="1"/>
  <c r="AJ112" i="1" s="1"/>
  <c r="AJ113" i="1" s="1"/>
  <c r="AJ114" i="1" s="1"/>
  <c r="AJ115" i="1" s="1"/>
  <c r="AJ116" i="1" s="1"/>
  <c r="AJ117" i="1" s="1"/>
  <c r="AJ118" i="1" s="1"/>
  <c r="AJ119" i="1" s="1"/>
  <c r="AJ120" i="1" s="1"/>
  <c r="AL112" i="1"/>
  <c r="AR111" i="1"/>
  <c r="AY111" i="1"/>
  <c r="AY112" i="1" s="1"/>
  <c r="AY113" i="1" s="1"/>
  <c r="AY114" i="1" s="1"/>
  <c r="AY115" i="1" s="1"/>
  <c r="AY116" i="1" s="1"/>
  <c r="AY117" i="1" s="1"/>
  <c r="AY118" i="1" s="1"/>
  <c r="AY119" i="1" s="1"/>
  <c r="AY120" i="1" s="1"/>
  <c r="AF110" i="1"/>
  <c r="AF111" i="1" s="1"/>
  <c r="AF112" i="1" s="1"/>
  <c r="AF113" i="1" s="1"/>
  <c r="AF114" i="1" s="1"/>
  <c r="AF115" i="1" s="1"/>
  <c r="AF116" i="1" s="1"/>
  <c r="AF117" i="1" s="1"/>
  <c r="AF118" i="1" s="1"/>
  <c r="AF119" i="1" s="1"/>
  <c r="AF120" i="1" s="1"/>
  <c r="AS98" i="1"/>
  <c r="AT98" i="1" s="1"/>
  <c r="AK98" i="1" s="1"/>
  <c r="AK99" i="1" s="1"/>
  <c r="AK100" i="1" s="1"/>
  <c r="AK101" i="1" s="1"/>
  <c r="AK102" i="1" s="1"/>
  <c r="AK103" i="1" s="1"/>
  <c r="AK104" i="1" s="1"/>
  <c r="AK105" i="1" s="1"/>
  <c r="AK106" i="1" s="1"/>
  <c r="AK107" i="1" s="1"/>
  <c r="AK108" i="1" s="1"/>
  <c r="AC98" i="1"/>
  <c r="AU98" i="1" s="1"/>
  <c r="AJ98" i="1" s="1"/>
  <c r="AJ99" i="1" s="1"/>
  <c r="AJ100" i="1" s="1"/>
  <c r="AJ101" i="1" s="1"/>
  <c r="AJ102" i="1" s="1"/>
  <c r="AJ103" i="1" s="1"/>
  <c r="AJ104" i="1" s="1"/>
  <c r="AJ105" i="1" s="1"/>
  <c r="AJ106" i="1" s="1"/>
  <c r="AJ107" i="1" s="1"/>
  <c r="AJ108" i="1" s="1"/>
  <c r="AL100" i="1"/>
  <c r="AR99" i="1"/>
  <c r="AY99" i="1"/>
  <c r="AY100" i="1" s="1"/>
  <c r="AY101" i="1" s="1"/>
  <c r="AY102" i="1" s="1"/>
  <c r="AY103" i="1" s="1"/>
  <c r="AY104" i="1" s="1"/>
  <c r="AY105" i="1" s="1"/>
  <c r="AY106" i="1" s="1"/>
  <c r="AY107" i="1" s="1"/>
  <c r="AY108" i="1" s="1"/>
  <c r="AF98" i="1"/>
  <c r="AF99" i="1" s="1"/>
  <c r="AF100" i="1" s="1"/>
  <c r="AF101" i="1" s="1"/>
  <c r="AF102" i="1" s="1"/>
  <c r="AF103" i="1" s="1"/>
  <c r="AF104" i="1" s="1"/>
  <c r="AF105" i="1" s="1"/>
  <c r="AF106" i="1" s="1"/>
  <c r="AF107" i="1" s="1"/>
  <c r="AF108" i="1" s="1"/>
  <c r="AS86" i="1"/>
  <c r="AT86" i="1" s="1"/>
  <c r="AC86" i="1"/>
  <c r="AU86" i="1" s="1"/>
  <c r="AJ86" i="1" s="1"/>
  <c r="AJ87" i="1" s="1"/>
  <c r="AJ88" i="1" s="1"/>
  <c r="AJ89" i="1" s="1"/>
  <c r="AJ90" i="1" s="1"/>
  <c r="AJ91" i="1" s="1"/>
  <c r="AJ92" i="1" s="1"/>
  <c r="AJ93" i="1" s="1"/>
  <c r="AJ94" i="1" s="1"/>
  <c r="AJ95" i="1" s="1"/>
  <c r="AJ96" i="1" s="1"/>
  <c r="AY87" i="1"/>
  <c r="AY88" i="1" s="1"/>
  <c r="AY89" i="1" s="1"/>
  <c r="AY90" i="1" s="1"/>
  <c r="AY91" i="1" s="1"/>
  <c r="AY92" i="1" s="1"/>
  <c r="AY93" i="1" s="1"/>
  <c r="AY94" i="1" s="1"/>
  <c r="AY95" i="1" s="1"/>
  <c r="AY96" i="1" s="1"/>
  <c r="AF86" i="1"/>
  <c r="AF87" i="1" s="1"/>
  <c r="AF88" i="1" s="1"/>
  <c r="AF89" i="1" s="1"/>
  <c r="AF90" i="1" s="1"/>
  <c r="AF91" i="1" s="1"/>
  <c r="AF92" i="1" s="1"/>
  <c r="AF93" i="1" s="1"/>
  <c r="AF94" i="1" s="1"/>
  <c r="AF95" i="1" s="1"/>
  <c r="AF96" i="1" s="1"/>
  <c r="AS74" i="1"/>
  <c r="AT74" i="1" s="1"/>
  <c r="AK74" i="1" s="1"/>
  <c r="AK75" i="1" s="1"/>
  <c r="AK76" i="1" s="1"/>
  <c r="AK77" i="1" s="1"/>
  <c r="AK78" i="1" s="1"/>
  <c r="AK79" i="1" s="1"/>
  <c r="AK80" i="1" s="1"/>
  <c r="AK81" i="1" s="1"/>
  <c r="AK82" i="1" s="1"/>
  <c r="AK83" i="1" s="1"/>
  <c r="AK84" i="1" s="1"/>
  <c r="AC74" i="1"/>
  <c r="AU74" i="1" s="1"/>
  <c r="AJ74" i="1" s="1"/>
  <c r="AJ75" i="1" s="1"/>
  <c r="AJ76" i="1" s="1"/>
  <c r="AJ77" i="1" s="1"/>
  <c r="AJ78" i="1" s="1"/>
  <c r="AJ79" i="1" s="1"/>
  <c r="AJ80" i="1" s="1"/>
  <c r="AJ81" i="1" s="1"/>
  <c r="AJ82" i="1" s="1"/>
  <c r="AJ83" i="1" s="1"/>
  <c r="AJ84" i="1" s="1"/>
  <c r="AY75" i="1"/>
  <c r="AY76" i="1" s="1"/>
  <c r="AY77" i="1" s="1"/>
  <c r="AY78" i="1" s="1"/>
  <c r="AY79" i="1" s="1"/>
  <c r="AY80" i="1" s="1"/>
  <c r="AY81" i="1" s="1"/>
  <c r="AY82" i="1" s="1"/>
  <c r="AY83" i="1" s="1"/>
  <c r="AY84" i="1" s="1"/>
  <c r="AF74" i="1"/>
  <c r="AF75" i="1" s="1"/>
  <c r="AF76" i="1" s="1"/>
  <c r="AF77" i="1" s="1"/>
  <c r="AF78" i="1" s="1"/>
  <c r="AF79" i="1" s="1"/>
  <c r="AF80" i="1" s="1"/>
  <c r="AF81" i="1" s="1"/>
  <c r="AF82" i="1" s="1"/>
  <c r="AF83" i="1" s="1"/>
  <c r="AF84" i="1" s="1"/>
  <c r="AL76" i="1"/>
  <c r="AR75" i="1"/>
  <c r="AY63" i="1"/>
  <c r="AY64" i="1" s="1"/>
  <c r="AY65" i="1" s="1"/>
  <c r="AY66" i="1" s="1"/>
  <c r="AY67" i="1" s="1"/>
  <c r="AY68" i="1" s="1"/>
  <c r="AY69" i="1" s="1"/>
  <c r="AY70" i="1" s="1"/>
  <c r="AY71" i="1" s="1"/>
  <c r="AY72" i="1" s="1"/>
  <c r="AF62" i="1"/>
  <c r="AF63" i="1" s="1"/>
  <c r="AF64" i="1" s="1"/>
  <c r="AF65" i="1" s="1"/>
  <c r="AF66" i="1" s="1"/>
  <c r="AF67" i="1" s="1"/>
  <c r="AF68" i="1" s="1"/>
  <c r="AF69" i="1" s="1"/>
  <c r="AF70" i="1" s="1"/>
  <c r="AF71" i="1" s="1"/>
  <c r="AF72" i="1" s="1"/>
  <c r="AS62" i="1"/>
  <c r="AT62" i="1" s="1"/>
  <c r="AC62" i="1"/>
  <c r="AU62" i="1" s="1"/>
  <c r="AJ62" i="1" s="1"/>
  <c r="AJ63" i="1" s="1"/>
  <c r="AJ64" i="1" s="1"/>
  <c r="AJ65" i="1" s="1"/>
  <c r="AJ66" i="1" s="1"/>
  <c r="AJ67" i="1" s="1"/>
  <c r="AJ68" i="1" s="1"/>
  <c r="AJ69" i="1" s="1"/>
  <c r="AJ70" i="1" s="1"/>
  <c r="AJ71" i="1" s="1"/>
  <c r="AJ72" i="1" s="1"/>
  <c r="AC50" i="1"/>
  <c r="AU50" i="1" s="1"/>
  <c r="AJ50" i="1" s="1"/>
  <c r="AJ51" i="1" s="1"/>
  <c r="AJ52" i="1" s="1"/>
  <c r="AJ53" i="1" s="1"/>
  <c r="AJ54" i="1" s="1"/>
  <c r="AJ55" i="1" s="1"/>
  <c r="AJ56" i="1" s="1"/>
  <c r="AJ57" i="1" s="1"/>
  <c r="AJ58" i="1" s="1"/>
  <c r="AJ59" i="1" s="1"/>
  <c r="AJ60" i="1" s="1"/>
  <c r="AS50" i="1"/>
  <c r="AT50" i="1" s="1"/>
  <c r="AY51" i="1"/>
  <c r="AY52" i="1" s="1"/>
  <c r="AY53" i="1" s="1"/>
  <c r="AY54" i="1" s="1"/>
  <c r="AY55" i="1" s="1"/>
  <c r="AY56" i="1" s="1"/>
  <c r="AY57" i="1" s="1"/>
  <c r="AY58" i="1" s="1"/>
  <c r="AY59" i="1" s="1"/>
  <c r="AY60" i="1" s="1"/>
  <c r="AF50" i="1"/>
  <c r="AF51" i="1" s="1"/>
  <c r="AF52" i="1" s="1"/>
  <c r="AF53" i="1" s="1"/>
  <c r="AF54" i="1" s="1"/>
  <c r="AF55" i="1" s="1"/>
  <c r="AF56" i="1" s="1"/>
  <c r="AF57" i="1" s="1"/>
  <c r="AF58" i="1" s="1"/>
  <c r="AF59" i="1" s="1"/>
  <c r="AF60" i="1" s="1"/>
  <c r="AC38" i="1"/>
  <c r="AU38" i="1" s="1"/>
  <c r="AJ38" i="1" s="1"/>
  <c r="AJ39" i="1" s="1"/>
  <c r="AJ40" i="1" s="1"/>
  <c r="AJ41" i="1" s="1"/>
  <c r="AJ42" i="1" s="1"/>
  <c r="AJ43" i="1" s="1"/>
  <c r="AJ44" i="1" s="1"/>
  <c r="AJ45" i="1" s="1"/>
  <c r="AJ46" i="1" s="1"/>
  <c r="AJ47" i="1" s="1"/>
  <c r="AJ48" i="1" s="1"/>
  <c r="AS38" i="1"/>
  <c r="AT38" i="1" s="1"/>
  <c r="AK38" i="1" s="1"/>
  <c r="AK39" i="1" s="1"/>
  <c r="AK40" i="1" s="1"/>
  <c r="AK41" i="1" s="1"/>
  <c r="AK42" i="1" s="1"/>
  <c r="AK43" i="1" s="1"/>
  <c r="AK44" i="1" s="1"/>
  <c r="AK45" i="1" s="1"/>
  <c r="AK46" i="1" s="1"/>
  <c r="AK47" i="1" s="1"/>
  <c r="AK48" i="1" s="1"/>
  <c r="AY39" i="1"/>
  <c r="AY40" i="1" s="1"/>
  <c r="AY41" i="1" s="1"/>
  <c r="AY42" i="1" s="1"/>
  <c r="AY43" i="1" s="1"/>
  <c r="AY44" i="1" s="1"/>
  <c r="AY45" i="1" s="1"/>
  <c r="AY46" i="1" s="1"/>
  <c r="AY47" i="1" s="1"/>
  <c r="AY48" i="1" s="1"/>
  <c r="AF38" i="1"/>
  <c r="AF39" i="1" s="1"/>
  <c r="AF40" i="1" s="1"/>
  <c r="AF41" i="1" s="1"/>
  <c r="AF42" i="1" s="1"/>
  <c r="AF43" i="1" s="1"/>
  <c r="AF44" i="1" s="1"/>
  <c r="AF45" i="1" s="1"/>
  <c r="AF46" i="1" s="1"/>
  <c r="AF47" i="1" s="1"/>
  <c r="AF48" i="1" s="1"/>
  <c r="AL40" i="1"/>
  <c r="AR39" i="1"/>
  <c r="AS26" i="1"/>
  <c r="AT26" i="1" s="1"/>
  <c r="AC26" i="1"/>
  <c r="AU26" i="1" s="1"/>
  <c r="AJ26" i="1" s="1"/>
  <c r="AJ27" i="1" s="1"/>
  <c r="AJ28" i="1" s="1"/>
  <c r="AJ29" i="1" s="1"/>
  <c r="AJ30" i="1" s="1"/>
  <c r="AJ31" i="1" s="1"/>
  <c r="AJ32" i="1" s="1"/>
  <c r="AJ33" i="1" s="1"/>
  <c r="AJ34" i="1" s="1"/>
  <c r="AJ35" i="1" s="1"/>
  <c r="AJ36" i="1" s="1"/>
  <c r="AY27" i="1"/>
  <c r="AY28" i="1" s="1"/>
  <c r="AY29" i="1" s="1"/>
  <c r="AY30" i="1" s="1"/>
  <c r="AY31" i="1" s="1"/>
  <c r="AY32" i="1" s="1"/>
  <c r="AY33" i="1" s="1"/>
  <c r="AY34" i="1" s="1"/>
  <c r="AY35" i="1" s="1"/>
  <c r="AY36" i="1" s="1"/>
  <c r="AF26" i="1"/>
  <c r="AF27" i="1" s="1"/>
  <c r="AF28" i="1" s="1"/>
  <c r="AF29" i="1" s="1"/>
  <c r="AF30" i="1" s="1"/>
  <c r="AF31" i="1" s="1"/>
  <c r="AF32" i="1" s="1"/>
  <c r="AF33" i="1" s="1"/>
  <c r="AF34" i="1" s="1"/>
  <c r="AF35" i="1" s="1"/>
  <c r="AF36" i="1" s="1"/>
  <c r="AL16" i="1"/>
  <c r="AR15" i="1"/>
  <c r="AC14" i="1"/>
  <c r="AU14" i="1" s="1"/>
  <c r="AJ14" i="1" s="1"/>
  <c r="AJ15" i="1" s="1"/>
  <c r="AJ16" i="1" s="1"/>
  <c r="AJ17" i="1" s="1"/>
  <c r="AJ18" i="1" s="1"/>
  <c r="AJ19" i="1" s="1"/>
  <c r="AJ20" i="1" s="1"/>
  <c r="AJ21" i="1" s="1"/>
  <c r="AJ22" i="1" s="1"/>
  <c r="AJ23" i="1" s="1"/>
  <c r="AJ24" i="1" s="1"/>
  <c r="AS14" i="1"/>
  <c r="AT14" i="1" s="1"/>
  <c r="AK14" i="1" s="1"/>
  <c r="AK15" i="1" s="1"/>
  <c r="AK16" i="1" s="1"/>
  <c r="AK17" i="1" s="1"/>
  <c r="AK18" i="1" s="1"/>
  <c r="AK19" i="1" s="1"/>
  <c r="AK20" i="1" s="1"/>
  <c r="AK21" i="1" s="1"/>
  <c r="AK22" i="1" s="1"/>
  <c r="AK23" i="1" s="1"/>
  <c r="AK24" i="1" s="1"/>
  <c r="AY15" i="1"/>
  <c r="AY16" i="1" s="1"/>
  <c r="AY17" i="1" s="1"/>
  <c r="AY18" i="1" s="1"/>
  <c r="AY19" i="1" s="1"/>
  <c r="AY20" i="1" s="1"/>
  <c r="AY21" i="1" s="1"/>
  <c r="AY22" i="1" s="1"/>
  <c r="AY23" i="1" s="1"/>
  <c r="AY24" i="1" s="1"/>
  <c r="AF14" i="1"/>
  <c r="AF15" i="1" s="1"/>
  <c r="AF16" i="1" s="1"/>
  <c r="AF17" i="1" s="1"/>
  <c r="AF18" i="1" s="1"/>
  <c r="AF19" i="1" s="1"/>
  <c r="AF20" i="1" s="1"/>
  <c r="AF21" i="1" s="1"/>
  <c r="AF22" i="1" s="1"/>
  <c r="AF23" i="1" s="1"/>
  <c r="AF24" i="1" s="1"/>
  <c r="AL497" i="1" l="1"/>
  <c r="AR496" i="1"/>
  <c r="AL486" i="1"/>
  <c r="AR485" i="1"/>
  <c r="AL474" i="1"/>
  <c r="AR473" i="1"/>
  <c r="AL461" i="1"/>
  <c r="AR460" i="1"/>
  <c r="AL449" i="1"/>
  <c r="AR448" i="1"/>
  <c r="AL437" i="1"/>
  <c r="AR436" i="1"/>
  <c r="AL425" i="1"/>
  <c r="AR424" i="1"/>
  <c r="AL413" i="1"/>
  <c r="AR412" i="1"/>
  <c r="AL401" i="1"/>
  <c r="AR400" i="1"/>
  <c r="AL390" i="1"/>
  <c r="AR389" i="1"/>
  <c r="AL377" i="1"/>
  <c r="AR376" i="1"/>
  <c r="AL366" i="1"/>
  <c r="AR365" i="1"/>
  <c r="AL353" i="1"/>
  <c r="AR352" i="1"/>
  <c r="AL339" i="1"/>
  <c r="AR338" i="1"/>
  <c r="AK326" i="1"/>
  <c r="AK327" i="1" s="1"/>
  <c r="AK328" i="1" s="1"/>
  <c r="AK329" i="1" s="1"/>
  <c r="AK330" i="1" s="1"/>
  <c r="AK331" i="1" s="1"/>
  <c r="AK332" i="1" s="1"/>
  <c r="AK333" i="1" s="1"/>
  <c r="AK334" i="1" s="1"/>
  <c r="AK335" i="1" s="1"/>
  <c r="AK336" i="1" s="1"/>
  <c r="AL326" i="1"/>
  <c r="AK314" i="1"/>
  <c r="AK315" i="1" s="1"/>
  <c r="AK316" i="1" s="1"/>
  <c r="AK317" i="1" s="1"/>
  <c r="AK318" i="1" s="1"/>
  <c r="AK319" i="1" s="1"/>
  <c r="AK320" i="1" s="1"/>
  <c r="AK321" i="1" s="1"/>
  <c r="AK322" i="1" s="1"/>
  <c r="AK323" i="1" s="1"/>
  <c r="AK324" i="1" s="1"/>
  <c r="AL314" i="1"/>
  <c r="AK302" i="1"/>
  <c r="AK303" i="1" s="1"/>
  <c r="AK304" i="1" s="1"/>
  <c r="AK305" i="1" s="1"/>
  <c r="AK306" i="1" s="1"/>
  <c r="AK307" i="1" s="1"/>
  <c r="AK308" i="1" s="1"/>
  <c r="AK309" i="1" s="1"/>
  <c r="AK310" i="1" s="1"/>
  <c r="AK311" i="1" s="1"/>
  <c r="AK312" i="1" s="1"/>
  <c r="AL302" i="1"/>
  <c r="AK290" i="1"/>
  <c r="AK291" i="1" s="1"/>
  <c r="AK292" i="1" s="1"/>
  <c r="AK293" i="1" s="1"/>
  <c r="AK294" i="1" s="1"/>
  <c r="AK295" i="1" s="1"/>
  <c r="AK296" i="1" s="1"/>
  <c r="AK297" i="1" s="1"/>
  <c r="AK298" i="1" s="1"/>
  <c r="AK299" i="1" s="1"/>
  <c r="AK300" i="1" s="1"/>
  <c r="AL290" i="1"/>
  <c r="AL281" i="1"/>
  <c r="AR280" i="1"/>
  <c r="AL270" i="1"/>
  <c r="AR269" i="1"/>
  <c r="AL257" i="1"/>
  <c r="AR256" i="1"/>
  <c r="AL245" i="1"/>
  <c r="AR244" i="1"/>
  <c r="AL233" i="1"/>
  <c r="AR232" i="1"/>
  <c r="AL221" i="1"/>
  <c r="AR220" i="1"/>
  <c r="AL209" i="1"/>
  <c r="AR208" i="1"/>
  <c r="AL197" i="1"/>
  <c r="AR196" i="1"/>
  <c r="AK182" i="1"/>
  <c r="AK183" i="1" s="1"/>
  <c r="AK184" i="1" s="1"/>
  <c r="AK185" i="1" s="1"/>
  <c r="AK186" i="1" s="1"/>
  <c r="AK187" i="1" s="1"/>
  <c r="AK188" i="1" s="1"/>
  <c r="AK189" i="1" s="1"/>
  <c r="AK190" i="1" s="1"/>
  <c r="AK191" i="1" s="1"/>
  <c r="AK192" i="1" s="1"/>
  <c r="AL182" i="1"/>
  <c r="AL173" i="1"/>
  <c r="AR172" i="1"/>
  <c r="AK158" i="1"/>
  <c r="AK159" i="1" s="1"/>
  <c r="AK160" i="1" s="1"/>
  <c r="AK161" i="1" s="1"/>
  <c r="AK162" i="1" s="1"/>
  <c r="AK163" i="1" s="1"/>
  <c r="AK164" i="1" s="1"/>
  <c r="AK165" i="1" s="1"/>
  <c r="AK166" i="1" s="1"/>
  <c r="AK167" i="1" s="1"/>
  <c r="AK168" i="1" s="1"/>
  <c r="AL158" i="1"/>
  <c r="AK146" i="1"/>
  <c r="AK147" i="1" s="1"/>
  <c r="AK148" i="1" s="1"/>
  <c r="AK149" i="1" s="1"/>
  <c r="AK150" i="1" s="1"/>
  <c r="AK151" i="1" s="1"/>
  <c r="AK152" i="1" s="1"/>
  <c r="AK153" i="1" s="1"/>
  <c r="AK154" i="1" s="1"/>
  <c r="AK155" i="1" s="1"/>
  <c r="AK156" i="1" s="1"/>
  <c r="AL146" i="1"/>
  <c r="AK134" i="1"/>
  <c r="AK135" i="1" s="1"/>
  <c r="AK136" i="1" s="1"/>
  <c r="AK137" i="1" s="1"/>
  <c r="AK138" i="1" s="1"/>
  <c r="AK139" i="1" s="1"/>
  <c r="AK140" i="1" s="1"/>
  <c r="AK141" i="1" s="1"/>
  <c r="AK142" i="1" s="1"/>
  <c r="AK143" i="1" s="1"/>
  <c r="AK144" i="1" s="1"/>
  <c r="AL134" i="1"/>
  <c r="AK122" i="1"/>
  <c r="AK123" i="1" s="1"/>
  <c r="AK124" i="1" s="1"/>
  <c r="AK125" i="1" s="1"/>
  <c r="AK126" i="1" s="1"/>
  <c r="AK127" i="1" s="1"/>
  <c r="AK128" i="1" s="1"/>
  <c r="AK129" i="1" s="1"/>
  <c r="AK130" i="1" s="1"/>
  <c r="AK131" i="1" s="1"/>
  <c r="AK132" i="1" s="1"/>
  <c r="AL122" i="1"/>
  <c r="AL113" i="1"/>
  <c r="AR112" i="1"/>
  <c r="AL101" i="1"/>
  <c r="AR100" i="1"/>
  <c r="AK86" i="1"/>
  <c r="AK87" i="1" s="1"/>
  <c r="AK88" i="1" s="1"/>
  <c r="AK89" i="1" s="1"/>
  <c r="AK90" i="1" s="1"/>
  <c r="AK91" i="1" s="1"/>
  <c r="AK92" i="1" s="1"/>
  <c r="AK93" i="1" s="1"/>
  <c r="AK94" i="1" s="1"/>
  <c r="AK95" i="1" s="1"/>
  <c r="AK96" i="1" s="1"/>
  <c r="AL86" i="1"/>
  <c r="AL77" i="1"/>
  <c r="AR76" i="1"/>
  <c r="AK62" i="1"/>
  <c r="AK63" i="1" s="1"/>
  <c r="AK64" i="1" s="1"/>
  <c r="AK65" i="1" s="1"/>
  <c r="AK66" i="1" s="1"/>
  <c r="AK67" i="1" s="1"/>
  <c r="AK68" i="1" s="1"/>
  <c r="AK69" i="1" s="1"/>
  <c r="AK70" i="1" s="1"/>
  <c r="AK71" i="1" s="1"/>
  <c r="AK72" i="1" s="1"/>
  <c r="AL62" i="1"/>
  <c r="AK50" i="1"/>
  <c r="AK51" i="1" s="1"/>
  <c r="AK52" i="1" s="1"/>
  <c r="AK53" i="1" s="1"/>
  <c r="AK54" i="1" s="1"/>
  <c r="AK55" i="1" s="1"/>
  <c r="AK56" i="1" s="1"/>
  <c r="AK57" i="1" s="1"/>
  <c r="AK58" i="1" s="1"/>
  <c r="AK59" i="1" s="1"/>
  <c r="AK60" i="1" s="1"/>
  <c r="AL50" i="1"/>
  <c r="AL41" i="1"/>
  <c r="AR40" i="1"/>
  <c r="AK26" i="1"/>
  <c r="AK27" i="1" s="1"/>
  <c r="AK28" i="1" s="1"/>
  <c r="AK29" i="1" s="1"/>
  <c r="AK30" i="1" s="1"/>
  <c r="AK31" i="1" s="1"/>
  <c r="AK32" i="1" s="1"/>
  <c r="AK33" i="1" s="1"/>
  <c r="AK34" i="1" s="1"/>
  <c r="AK35" i="1" s="1"/>
  <c r="AK36" i="1" s="1"/>
  <c r="AL26" i="1"/>
  <c r="AL17" i="1"/>
  <c r="AR16" i="1"/>
  <c r="AL498" i="1" l="1"/>
  <c r="AR497" i="1"/>
  <c r="AL487" i="1"/>
  <c r="AR486" i="1"/>
  <c r="AL475" i="1"/>
  <c r="AR474" i="1"/>
  <c r="AL462" i="1"/>
  <c r="AR461" i="1"/>
  <c r="AL450" i="1"/>
  <c r="AR449" i="1"/>
  <c r="AL438" i="1"/>
  <c r="AR437" i="1"/>
  <c r="AL426" i="1"/>
  <c r="AR425" i="1"/>
  <c r="AL414" i="1"/>
  <c r="AR413" i="1"/>
  <c r="AL402" i="1"/>
  <c r="AR401" i="1"/>
  <c r="AL391" i="1"/>
  <c r="AR390" i="1"/>
  <c r="AL378" i="1"/>
  <c r="AR377" i="1"/>
  <c r="AL367" i="1"/>
  <c r="AR366" i="1"/>
  <c r="AL354" i="1"/>
  <c r="AR353" i="1"/>
  <c r="AR339" i="1"/>
  <c r="AL340" i="1"/>
  <c r="AL327" i="1"/>
  <c r="AR326" i="1"/>
  <c r="AL315" i="1"/>
  <c r="AR314" i="1"/>
  <c r="AL303" i="1"/>
  <c r="AR302" i="1"/>
  <c r="AL291" i="1"/>
  <c r="AR290" i="1"/>
  <c r="AL282" i="1"/>
  <c r="AR281" i="1"/>
  <c r="AL271" i="1"/>
  <c r="AR270" i="1"/>
  <c r="AL258" i="1"/>
  <c r="AR257" i="1"/>
  <c r="AL246" i="1"/>
  <c r="AR245" i="1"/>
  <c r="AL234" i="1"/>
  <c r="AR233" i="1"/>
  <c r="AL222" i="1"/>
  <c r="AR221" i="1"/>
  <c r="AL210" i="1"/>
  <c r="AR209" i="1"/>
  <c r="AL198" i="1"/>
  <c r="AR197" i="1"/>
  <c r="AL183" i="1"/>
  <c r="AR182" i="1"/>
  <c r="AL174" i="1"/>
  <c r="AR173" i="1"/>
  <c r="AL159" i="1"/>
  <c r="AR158" i="1"/>
  <c r="AL147" i="1"/>
  <c r="AR146" i="1"/>
  <c r="AL135" i="1"/>
  <c r="AR134" i="1"/>
  <c r="AL123" i="1"/>
  <c r="AR122" i="1"/>
  <c r="AL114" i="1"/>
  <c r="AR113" i="1"/>
  <c r="AL102" i="1"/>
  <c r="AR101" i="1"/>
  <c r="AL87" i="1"/>
  <c r="AR86" i="1"/>
  <c r="AL78" i="1"/>
  <c r="AR77" i="1"/>
  <c r="AL63" i="1"/>
  <c r="AR62" i="1"/>
  <c r="AL51" i="1"/>
  <c r="AR50" i="1"/>
  <c r="AL42" i="1"/>
  <c r="AR41" i="1"/>
  <c r="AL27" i="1"/>
  <c r="AR26" i="1"/>
  <c r="AL18" i="1"/>
  <c r="AR17" i="1"/>
  <c r="AL499" i="1" l="1"/>
  <c r="AR498" i="1"/>
  <c r="AL488" i="1"/>
  <c r="AR487" i="1"/>
  <c r="AL476" i="1"/>
  <c r="AR475" i="1"/>
  <c r="AL463" i="1"/>
  <c r="AR462" i="1"/>
  <c r="AL451" i="1"/>
  <c r="AR450" i="1"/>
  <c r="AL439" i="1"/>
  <c r="AR438" i="1"/>
  <c r="AL427" i="1"/>
  <c r="AR426" i="1"/>
  <c r="AL415" i="1"/>
  <c r="AR414" i="1"/>
  <c r="AL403" i="1"/>
  <c r="AR402" i="1"/>
  <c r="AL392" i="1"/>
  <c r="AR391" i="1"/>
  <c r="AL379" i="1"/>
  <c r="AR378" i="1"/>
  <c r="AL368" i="1"/>
  <c r="AR367" i="1"/>
  <c r="AL355" i="1"/>
  <c r="AR354" i="1"/>
  <c r="AL341" i="1"/>
  <c r="AR340" i="1"/>
  <c r="AL328" i="1"/>
  <c r="AR327" i="1"/>
  <c r="AL316" i="1"/>
  <c r="AR315" i="1"/>
  <c r="AL304" i="1"/>
  <c r="AR303" i="1"/>
  <c r="AL292" i="1"/>
  <c r="AR291" i="1"/>
  <c r="AL283" i="1"/>
  <c r="AR282" i="1"/>
  <c r="AL272" i="1"/>
  <c r="AR271" i="1"/>
  <c r="AL259" i="1"/>
  <c r="AR258" i="1"/>
  <c r="AL247" i="1"/>
  <c r="AR246" i="1"/>
  <c r="AL235" i="1"/>
  <c r="AR234" i="1"/>
  <c r="AL223" i="1"/>
  <c r="AR222" i="1"/>
  <c r="AL211" i="1"/>
  <c r="AR210" i="1"/>
  <c r="AL199" i="1"/>
  <c r="AR198" i="1"/>
  <c r="AL184" i="1"/>
  <c r="AR183" i="1"/>
  <c r="AL175" i="1"/>
  <c r="AR174" i="1"/>
  <c r="AL160" i="1"/>
  <c r="AR159" i="1"/>
  <c r="AL148" i="1"/>
  <c r="AR147" i="1"/>
  <c r="AL136" i="1"/>
  <c r="AR135" i="1"/>
  <c r="AL124" i="1"/>
  <c r="AR123" i="1"/>
  <c r="AL115" i="1"/>
  <c r="AR114" i="1"/>
  <c r="AL103" i="1"/>
  <c r="AR102" i="1"/>
  <c r="AL88" i="1"/>
  <c r="AR87" i="1"/>
  <c r="AL79" i="1"/>
  <c r="AR78" i="1"/>
  <c r="AL64" i="1"/>
  <c r="AR63" i="1"/>
  <c r="AL52" i="1"/>
  <c r="AR51" i="1"/>
  <c r="AL43" i="1"/>
  <c r="AR42" i="1"/>
  <c r="AL28" i="1"/>
  <c r="AR27" i="1"/>
  <c r="AL19" i="1"/>
  <c r="AR18" i="1"/>
  <c r="AL500" i="1" l="1"/>
  <c r="AR499" i="1"/>
  <c r="AL489" i="1"/>
  <c r="AR488" i="1"/>
  <c r="AL477" i="1"/>
  <c r="AR476" i="1"/>
  <c r="AL464" i="1"/>
  <c r="AR463" i="1"/>
  <c r="AL452" i="1"/>
  <c r="AR451" i="1"/>
  <c r="AL440" i="1"/>
  <c r="AR439" i="1"/>
  <c r="AL428" i="1"/>
  <c r="AR427" i="1"/>
  <c r="AL416" i="1"/>
  <c r="AR415" i="1"/>
  <c r="AL404" i="1"/>
  <c r="AR403" i="1"/>
  <c r="AL393" i="1"/>
  <c r="AR392" i="1"/>
  <c r="AL380" i="1"/>
  <c r="AR379" i="1"/>
  <c r="AL369" i="1"/>
  <c r="AR368" i="1"/>
  <c r="AL356" i="1"/>
  <c r="AR355" i="1"/>
  <c r="AR341" i="1"/>
  <c r="AL342" i="1"/>
  <c r="AL329" i="1"/>
  <c r="AR328" i="1"/>
  <c r="AL317" i="1"/>
  <c r="AR316" i="1"/>
  <c r="AL305" i="1"/>
  <c r="AR304" i="1"/>
  <c r="AL293" i="1"/>
  <c r="AR292" i="1"/>
  <c r="AL284" i="1"/>
  <c r="AR283" i="1"/>
  <c r="AL273" i="1"/>
  <c r="AR272" i="1"/>
  <c r="AL260" i="1"/>
  <c r="AR259" i="1"/>
  <c r="AL248" i="1"/>
  <c r="AR247" i="1"/>
  <c r="AL236" i="1"/>
  <c r="AR235" i="1"/>
  <c r="AL224" i="1"/>
  <c r="AR223" i="1"/>
  <c r="AL212" i="1"/>
  <c r="AR211" i="1"/>
  <c r="AL200" i="1"/>
  <c r="AR199" i="1"/>
  <c r="AL185" i="1"/>
  <c r="AR184" i="1"/>
  <c r="AL176" i="1"/>
  <c r="AR175" i="1"/>
  <c r="AL161" i="1"/>
  <c r="AR160" i="1"/>
  <c r="AL149" i="1"/>
  <c r="AR148" i="1"/>
  <c r="AL137" i="1"/>
  <c r="AR136" i="1"/>
  <c r="AL125" i="1"/>
  <c r="AR124" i="1"/>
  <c r="AL116" i="1"/>
  <c r="AR115" i="1"/>
  <c r="AL104" i="1"/>
  <c r="AR103" i="1"/>
  <c r="AL89" i="1"/>
  <c r="AR88" i="1"/>
  <c r="AL80" i="1"/>
  <c r="AR79" i="1"/>
  <c r="AL65" i="1"/>
  <c r="AR64" i="1"/>
  <c r="AL53" i="1"/>
  <c r="AR52" i="1"/>
  <c r="AL44" i="1"/>
  <c r="AR43" i="1"/>
  <c r="AL29" i="1"/>
  <c r="AR28" i="1"/>
  <c r="AL20" i="1"/>
  <c r="AR19" i="1"/>
  <c r="AL501" i="1" l="1"/>
  <c r="AR500" i="1"/>
  <c r="AL490" i="1"/>
  <c r="AR489" i="1"/>
  <c r="AL478" i="1"/>
  <c r="AR477" i="1"/>
  <c r="AL465" i="1"/>
  <c r="AR464" i="1"/>
  <c r="AL453" i="1"/>
  <c r="AR452" i="1"/>
  <c r="AL441" i="1"/>
  <c r="AR440" i="1"/>
  <c r="AL429" i="1"/>
  <c r="AR428" i="1"/>
  <c r="AL417" i="1"/>
  <c r="AR416" i="1"/>
  <c r="AL405" i="1"/>
  <c r="AR404" i="1"/>
  <c r="AL394" i="1"/>
  <c r="AR393" i="1"/>
  <c r="AL381" i="1"/>
  <c r="AR380" i="1"/>
  <c r="AL370" i="1"/>
  <c r="AR369" i="1"/>
  <c r="AL357" i="1"/>
  <c r="AR356" i="1"/>
  <c r="AR342" i="1"/>
  <c r="AL343" i="1"/>
  <c r="AL330" i="1"/>
  <c r="AR329" i="1"/>
  <c r="AL318" i="1"/>
  <c r="AR317" i="1"/>
  <c r="AL306" i="1"/>
  <c r="AR305" i="1"/>
  <c r="AL294" i="1"/>
  <c r="AR293" i="1"/>
  <c r="AL285" i="1"/>
  <c r="AR284" i="1"/>
  <c r="AL274" i="1"/>
  <c r="AR273" i="1"/>
  <c r="AL261" i="1"/>
  <c r="AR260" i="1"/>
  <c r="AL249" i="1"/>
  <c r="AR248" i="1"/>
  <c r="AL237" i="1"/>
  <c r="AR236" i="1"/>
  <c r="AL225" i="1"/>
  <c r="AR224" i="1"/>
  <c r="AL213" i="1"/>
  <c r="AR212" i="1"/>
  <c r="AL201" i="1"/>
  <c r="AR200" i="1"/>
  <c r="AL186" i="1"/>
  <c r="AR185" i="1"/>
  <c r="AL177" i="1"/>
  <c r="AR176" i="1"/>
  <c r="AL162" i="1"/>
  <c r="AR161" i="1"/>
  <c r="AL150" i="1"/>
  <c r="AR149" i="1"/>
  <c r="AL138" i="1"/>
  <c r="AR137" i="1"/>
  <c r="AL126" i="1"/>
  <c r="AR125" i="1"/>
  <c r="AL117" i="1"/>
  <c r="AR116" i="1"/>
  <c r="AL105" i="1"/>
  <c r="AR104" i="1"/>
  <c r="AL90" i="1"/>
  <c r="AR89" i="1"/>
  <c r="AL81" i="1"/>
  <c r="AR80" i="1"/>
  <c r="AL66" i="1"/>
  <c r="AR65" i="1"/>
  <c r="AL54" i="1"/>
  <c r="AR53" i="1"/>
  <c r="AL45" i="1"/>
  <c r="AR44" i="1"/>
  <c r="AL30" i="1"/>
  <c r="AR29" i="1"/>
  <c r="AL21" i="1"/>
  <c r="AR20" i="1"/>
  <c r="AL502" i="1" l="1"/>
  <c r="AR501" i="1"/>
  <c r="AL491" i="1"/>
  <c r="AR490" i="1"/>
  <c r="AL479" i="1"/>
  <c r="AR478" i="1"/>
  <c r="AL466" i="1"/>
  <c r="AR465" i="1"/>
  <c r="AL454" i="1"/>
  <c r="AR453" i="1"/>
  <c r="AL442" i="1"/>
  <c r="AR441" i="1"/>
  <c r="AL430" i="1"/>
  <c r="AR429" i="1"/>
  <c r="AL418" i="1"/>
  <c r="AR417" i="1"/>
  <c r="AL406" i="1"/>
  <c r="AR405" i="1"/>
  <c r="AL395" i="1"/>
  <c r="AR394" i="1"/>
  <c r="AL382" i="1"/>
  <c r="AR381" i="1"/>
  <c r="AL371" i="1"/>
  <c r="AR370" i="1"/>
  <c r="AL358" i="1"/>
  <c r="AR357" i="1"/>
  <c r="AL344" i="1"/>
  <c r="AR343" i="1"/>
  <c r="AL331" i="1"/>
  <c r="AR330" i="1"/>
  <c r="AL319" i="1"/>
  <c r="AR318" i="1"/>
  <c r="AL307" i="1"/>
  <c r="AR306" i="1"/>
  <c r="AL295" i="1"/>
  <c r="AR294" i="1"/>
  <c r="AL286" i="1"/>
  <c r="AR285" i="1"/>
  <c r="AL275" i="1"/>
  <c r="AR274" i="1"/>
  <c r="AL262" i="1"/>
  <c r="AR261" i="1"/>
  <c r="AL250" i="1"/>
  <c r="AR249" i="1"/>
  <c r="AL238" i="1"/>
  <c r="AR237" i="1"/>
  <c r="AL226" i="1"/>
  <c r="AR225" i="1"/>
  <c r="AL214" i="1"/>
  <c r="AR213" i="1"/>
  <c r="AL202" i="1"/>
  <c r="AR201" i="1"/>
  <c r="AL187" i="1"/>
  <c r="AR186" i="1"/>
  <c r="AL178" i="1"/>
  <c r="AR177" i="1"/>
  <c r="AL163" i="1"/>
  <c r="AR162" i="1"/>
  <c r="AL151" i="1"/>
  <c r="AR150" i="1"/>
  <c r="AL139" i="1"/>
  <c r="AR138" i="1"/>
  <c r="AL127" i="1"/>
  <c r="AR126" i="1"/>
  <c r="AL118" i="1"/>
  <c r="AR117" i="1"/>
  <c r="AL106" i="1"/>
  <c r="AR105" i="1"/>
  <c r="AL91" i="1"/>
  <c r="AR90" i="1"/>
  <c r="AL82" i="1"/>
  <c r="AR81" i="1"/>
  <c r="AL67" i="1"/>
  <c r="AR66" i="1"/>
  <c r="AL55" i="1"/>
  <c r="AR54" i="1"/>
  <c r="AL46" i="1"/>
  <c r="AR45" i="1"/>
  <c r="AL31" i="1"/>
  <c r="AR30" i="1"/>
  <c r="AL22" i="1"/>
  <c r="AR21" i="1"/>
  <c r="AL503" i="1" l="1"/>
  <c r="AR502" i="1"/>
  <c r="AL492" i="1"/>
  <c r="AR492" i="1" s="1"/>
  <c r="AR491" i="1"/>
  <c r="AL480" i="1"/>
  <c r="AR480" i="1" s="1"/>
  <c r="AR479" i="1"/>
  <c r="AL467" i="1"/>
  <c r="AR466" i="1"/>
  <c r="AL455" i="1"/>
  <c r="AR454" i="1"/>
  <c r="AL443" i="1"/>
  <c r="AR442" i="1"/>
  <c r="AL431" i="1"/>
  <c r="AR430" i="1"/>
  <c r="AL419" i="1"/>
  <c r="AR418" i="1"/>
  <c r="AL407" i="1"/>
  <c r="AR406" i="1"/>
  <c r="AL396" i="1"/>
  <c r="AR396" i="1" s="1"/>
  <c r="AR395" i="1"/>
  <c r="AL383" i="1"/>
  <c r="AR382" i="1"/>
  <c r="AL372" i="1"/>
  <c r="AR372" i="1" s="1"/>
  <c r="AR371" i="1"/>
  <c r="AL359" i="1"/>
  <c r="AR358" i="1"/>
  <c r="AR344" i="1"/>
  <c r="AL345" i="1"/>
  <c r="AL332" i="1"/>
  <c r="AR331" i="1"/>
  <c r="AL320" i="1"/>
  <c r="AR319" i="1"/>
  <c r="AL308" i="1"/>
  <c r="AR307" i="1"/>
  <c r="AL296" i="1"/>
  <c r="AR295" i="1"/>
  <c r="AL287" i="1"/>
  <c r="AR286" i="1"/>
  <c r="AL276" i="1"/>
  <c r="AR276" i="1" s="1"/>
  <c r="AR275" i="1"/>
  <c r="AL263" i="1"/>
  <c r="AR262" i="1"/>
  <c r="AL251" i="1"/>
  <c r="AR250" i="1"/>
  <c r="AL239" i="1"/>
  <c r="AR238" i="1"/>
  <c r="AL227" i="1"/>
  <c r="AR226" i="1"/>
  <c r="AL215" i="1"/>
  <c r="AR214" i="1"/>
  <c r="AL203" i="1"/>
  <c r="AR202" i="1"/>
  <c r="AL188" i="1"/>
  <c r="AR187" i="1"/>
  <c r="AL179" i="1"/>
  <c r="AR178" i="1"/>
  <c r="AL164" i="1"/>
  <c r="AR163" i="1"/>
  <c r="AL152" i="1"/>
  <c r="AR151" i="1"/>
  <c r="AL140" i="1"/>
  <c r="AR139" i="1"/>
  <c r="AL128" i="1"/>
  <c r="AR127" i="1"/>
  <c r="AL119" i="1"/>
  <c r="AR118" i="1"/>
  <c r="AL107" i="1"/>
  <c r="AR106" i="1"/>
  <c r="AL92" i="1"/>
  <c r="AR91" i="1"/>
  <c r="AL83" i="1"/>
  <c r="AR82" i="1"/>
  <c r="AL68" i="1"/>
  <c r="AR67" i="1"/>
  <c r="AL56" i="1"/>
  <c r="AR55" i="1"/>
  <c r="AL47" i="1"/>
  <c r="AR46" i="1"/>
  <c r="AL32" i="1"/>
  <c r="AR31" i="1"/>
  <c r="AL23" i="1"/>
  <c r="AR22" i="1"/>
  <c r="AL504" i="1" l="1"/>
  <c r="AR504" i="1" s="1"/>
  <c r="AR503" i="1"/>
  <c r="AL468" i="1"/>
  <c r="AR468" i="1" s="1"/>
  <c r="AR467" i="1"/>
  <c r="AL456" i="1"/>
  <c r="AR456" i="1" s="1"/>
  <c r="AR455" i="1"/>
  <c r="AL444" i="1"/>
  <c r="AR444" i="1" s="1"/>
  <c r="AR443" i="1"/>
  <c r="AL432" i="1"/>
  <c r="AR432" i="1" s="1"/>
  <c r="AR431" i="1"/>
  <c r="AL420" i="1"/>
  <c r="AR420" i="1" s="1"/>
  <c r="AR419" i="1"/>
  <c r="AL408" i="1"/>
  <c r="AR408" i="1" s="1"/>
  <c r="AR407" i="1"/>
  <c r="AL384" i="1"/>
  <c r="AR384" i="1" s="1"/>
  <c r="AR383" i="1"/>
  <c r="AL360" i="1"/>
  <c r="AR360" i="1" s="1"/>
  <c r="AR359" i="1"/>
  <c r="AL346" i="1"/>
  <c r="AR345" i="1"/>
  <c r="AL333" i="1"/>
  <c r="AR332" i="1"/>
  <c r="AL321" i="1"/>
  <c r="AR320" i="1"/>
  <c r="AL309" i="1"/>
  <c r="AR308" i="1"/>
  <c r="AL297" i="1"/>
  <c r="AR296" i="1"/>
  <c r="AL288" i="1"/>
  <c r="AR288" i="1" s="1"/>
  <c r="AR287" i="1"/>
  <c r="AL264" i="1"/>
  <c r="AR264" i="1" s="1"/>
  <c r="AR263" i="1"/>
  <c r="AL252" i="1"/>
  <c r="AR252" i="1" s="1"/>
  <c r="AR251" i="1"/>
  <c r="AL240" i="1"/>
  <c r="AR240" i="1" s="1"/>
  <c r="AR239" i="1"/>
  <c r="AL228" i="1"/>
  <c r="AR228" i="1" s="1"/>
  <c r="AR227" i="1"/>
  <c r="AL216" i="1"/>
  <c r="AR216" i="1" s="1"/>
  <c r="AR215" i="1"/>
  <c r="AL204" i="1"/>
  <c r="AR204" i="1" s="1"/>
  <c r="AR203" i="1"/>
  <c r="AL189" i="1"/>
  <c r="AR188" i="1"/>
  <c r="AL180" i="1"/>
  <c r="AR180" i="1" s="1"/>
  <c r="AR179" i="1"/>
  <c r="AL165" i="1"/>
  <c r="AR164" i="1"/>
  <c r="AL153" i="1"/>
  <c r="AR152" i="1"/>
  <c r="AL141" i="1"/>
  <c r="AR140" i="1"/>
  <c r="AL129" i="1"/>
  <c r="AR128" i="1"/>
  <c r="AL120" i="1"/>
  <c r="AR120" i="1" s="1"/>
  <c r="AR119" i="1"/>
  <c r="AL108" i="1"/>
  <c r="AR108" i="1" s="1"/>
  <c r="AR107" i="1"/>
  <c r="AL93" i="1"/>
  <c r="AR92" i="1"/>
  <c r="AL84" i="1"/>
  <c r="AR84" i="1" s="1"/>
  <c r="AR83" i="1"/>
  <c r="AL69" i="1"/>
  <c r="AR68" i="1"/>
  <c r="AL57" i="1"/>
  <c r="AR56" i="1"/>
  <c r="AL48" i="1"/>
  <c r="AR48" i="1" s="1"/>
  <c r="AR47" i="1"/>
  <c r="AL33" i="1"/>
  <c r="AR32" i="1"/>
  <c r="AL24" i="1"/>
  <c r="AR24" i="1" s="1"/>
  <c r="AR23" i="1"/>
  <c r="AR346" i="1" l="1"/>
  <c r="AL347" i="1"/>
  <c r="AL334" i="1"/>
  <c r="AR333" i="1"/>
  <c r="AL322" i="1"/>
  <c r="AR321" i="1"/>
  <c r="AL310" i="1"/>
  <c r="AR309" i="1"/>
  <c r="AL298" i="1"/>
  <c r="AR297" i="1"/>
  <c r="AL190" i="1"/>
  <c r="AR189" i="1"/>
  <c r="AL166" i="1"/>
  <c r="AR165" i="1"/>
  <c r="AL154" i="1"/>
  <c r="AR153" i="1"/>
  <c r="AL142" i="1"/>
  <c r="AR141" i="1"/>
  <c r="AL130" i="1"/>
  <c r="AR129" i="1"/>
  <c r="AL94" i="1"/>
  <c r="AR93" i="1"/>
  <c r="AL70" i="1"/>
  <c r="AR69" i="1"/>
  <c r="AL58" i="1"/>
  <c r="AR57" i="1"/>
  <c r="AL34" i="1"/>
  <c r="AR33" i="1"/>
  <c r="AR347" i="1" l="1"/>
  <c r="AL348" i="1"/>
  <c r="AR348" i="1" s="1"/>
  <c r="AL335" i="1"/>
  <c r="AR334" i="1"/>
  <c r="AL323" i="1"/>
  <c r="AR322" i="1"/>
  <c r="AL311" i="1"/>
  <c r="AR310" i="1"/>
  <c r="AL299" i="1"/>
  <c r="AR298" i="1"/>
  <c r="AL191" i="1"/>
  <c r="AR190" i="1"/>
  <c r="AL167" i="1"/>
  <c r="AR166" i="1"/>
  <c r="AL155" i="1"/>
  <c r="AR154" i="1"/>
  <c r="AL143" i="1"/>
  <c r="AR142" i="1"/>
  <c r="AL131" i="1"/>
  <c r="AR130" i="1"/>
  <c r="AL95" i="1"/>
  <c r="AR94" i="1"/>
  <c r="AL71" i="1"/>
  <c r="AR70" i="1"/>
  <c r="AL59" i="1"/>
  <c r="AR58" i="1"/>
  <c r="AL35" i="1"/>
  <c r="AR34" i="1"/>
  <c r="AL336" i="1" l="1"/>
  <c r="AR336" i="1" s="1"/>
  <c r="AR335" i="1"/>
  <c r="AL324" i="1"/>
  <c r="AR324" i="1" s="1"/>
  <c r="AR323" i="1"/>
  <c r="AL312" i="1"/>
  <c r="AR312" i="1" s="1"/>
  <c r="AR311" i="1"/>
  <c r="AL300" i="1"/>
  <c r="AR300" i="1" s="1"/>
  <c r="AR299" i="1"/>
  <c r="AL192" i="1"/>
  <c r="AR192" i="1" s="1"/>
  <c r="AR191" i="1"/>
  <c r="AL168" i="1"/>
  <c r="AR168" i="1" s="1"/>
  <c r="AR167" i="1"/>
  <c r="AL156" i="1"/>
  <c r="AR156" i="1" s="1"/>
  <c r="AR155" i="1"/>
  <c r="AL144" i="1"/>
  <c r="AR144" i="1" s="1"/>
  <c r="AR143" i="1"/>
  <c r="AL132" i="1"/>
  <c r="AR132" i="1" s="1"/>
  <c r="AR131" i="1"/>
  <c r="AL96" i="1"/>
  <c r="AR96" i="1" s="1"/>
  <c r="AR95" i="1"/>
  <c r="AL72" i="1"/>
  <c r="AR72" i="1" s="1"/>
  <c r="AR71" i="1"/>
  <c r="AL60" i="1"/>
  <c r="AR60" i="1" s="1"/>
  <c r="AR59" i="1"/>
  <c r="AL36" i="1"/>
  <c r="AR36" i="1" s="1"/>
  <c r="AR35" i="1"/>
  <c r="M504" i="1"/>
  <c r="K504" i="1"/>
  <c r="M503" i="1"/>
  <c r="K503" i="1"/>
  <c r="M502" i="1"/>
  <c r="K502" i="1"/>
  <c r="M501" i="1"/>
  <c r="K501" i="1"/>
  <c r="M500" i="1"/>
  <c r="K500" i="1"/>
  <c r="M499" i="1"/>
  <c r="K499" i="1"/>
  <c r="M498" i="1"/>
  <c r="K498" i="1"/>
  <c r="M497" i="1"/>
  <c r="K497" i="1"/>
  <c r="M496" i="1"/>
  <c r="K496" i="1"/>
  <c r="M495" i="1"/>
  <c r="K495" i="1"/>
  <c r="M494" i="1"/>
  <c r="K494" i="1"/>
  <c r="M492" i="1"/>
  <c r="K492" i="1"/>
  <c r="M491" i="1"/>
  <c r="K491" i="1"/>
  <c r="M490" i="1"/>
  <c r="K490" i="1"/>
  <c r="M489" i="1"/>
  <c r="K489" i="1"/>
  <c r="M488" i="1"/>
  <c r="K488" i="1"/>
  <c r="M487" i="1"/>
  <c r="K487" i="1"/>
  <c r="M486" i="1"/>
  <c r="K486" i="1"/>
  <c r="M485" i="1"/>
  <c r="K485" i="1"/>
  <c r="M484" i="1"/>
  <c r="K484" i="1"/>
  <c r="M483" i="1"/>
  <c r="K483" i="1"/>
  <c r="M482" i="1"/>
  <c r="K482" i="1"/>
  <c r="K476" i="1"/>
  <c r="M480" i="1"/>
  <c r="K480" i="1"/>
  <c r="M479" i="1"/>
  <c r="K479" i="1"/>
  <c r="M478" i="1"/>
  <c r="K478" i="1"/>
  <c r="M477" i="1"/>
  <c r="K477" i="1"/>
  <c r="M476" i="1"/>
  <c r="M475" i="1"/>
  <c r="K475" i="1"/>
  <c r="M474" i="1"/>
  <c r="K474" i="1"/>
  <c r="M473" i="1"/>
  <c r="K473" i="1"/>
  <c r="M472" i="1"/>
  <c r="K472" i="1"/>
  <c r="M471" i="1"/>
  <c r="K471" i="1"/>
  <c r="M470" i="1"/>
  <c r="K470" i="1"/>
  <c r="M468" i="1"/>
  <c r="K468" i="1"/>
  <c r="M467" i="1"/>
  <c r="K467" i="1"/>
  <c r="M466" i="1"/>
  <c r="K466" i="1"/>
  <c r="M465" i="1"/>
  <c r="K465" i="1"/>
  <c r="M464" i="1"/>
  <c r="K464" i="1"/>
  <c r="M463" i="1"/>
  <c r="K463" i="1"/>
  <c r="M462" i="1"/>
  <c r="K462" i="1"/>
  <c r="M461" i="1"/>
  <c r="K461" i="1"/>
  <c r="M460" i="1"/>
  <c r="K460" i="1"/>
  <c r="M459" i="1"/>
  <c r="K459" i="1"/>
  <c r="M458" i="1"/>
  <c r="K458" i="1"/>
  <c r="M456" i="1"/>
  <c r="K456" i="1"/>
  <c r="M455" i="1"/>
  <c r="K455" i="1"/>
  <c r="M454" i="1"/>
  <c r="K454" i="1"/>
  <c r="M453" i="1"/>
  <c r="K453" i="1"/>
  <c r="M452" i="1"/>
  <c r="K452" i="1"/>
  <c r="M451" i="1"/>
  <c r="K451" i="1"/>
  <c r="M450" i="1"/>
  <c r="K450" i="1"/>
  <c r="M449" i="1"/>
  <c r="K449" i="1"/>
  <c r="M448" i="1"/>
  <c r="K448" i="1"/>
  <c r="M447" i="1"/>
  <c r="K447" i="1"/>
  <c r="M446" i="1"/>
  <c r="K446" i="1"/>
  <c r="M444" i="1"/>
  <c r="K444" i="1"/>
  <c r="M443" i="1"/>
  <c r="K443" i="1"/>
  <c r="M442" i="1"/>
  <c r="K442" i="1"/>
  <c r="M441" i="1"/>
  <c r="K441" i="1"/>
  <c r="M440" i="1"/>
  <c r="K440" i="1"/>
  <c r="M439" i="1"/>
  <c r="K439" i="1"/>
  <c r="M438" i="1"/>
  <c r="K438" i="1"/>
  <c r="M437" i="1"/>
  <c r="K437" i="1"/>
  <c r="M436" i="1"/>
  <c r="K436" i="1"/>
  <c r="M435" i="1"/>
  <c r="K435" i="1"/>
  <c r="M434" i="1"/>
  <c r="K434" i="1"/>
  <c r="M432" i="1"/>
  <c r="K432" i="1"/>
  <c r="M431" i="1"/>
  <c r="K431" i="1"/>
  <c r="M430" i="1"/>
  <c r="K430" i="1"/>
  <c r="M429" i="1"/>
  <c r="K429" i="1"/>
  <c r="M428" i="1"/>
  <c r="K428" i="1"/>
  <c r="M427" i="1"/>
  <c r="K427" i="1"/>
  <c r="M426" i="1"/>
  <c r="K426" i="1"/>
  <c r="M425" i="1"/>
  <c r="K425" i="1"/>
  <c r="M424" i="1"/>
  <c r="K424" i="1"/>
  <c r="M423" i="1"/>
  <c r="K423" i="1"/>
  <c r="M422" i="1"/>
  <c r="K422" i="1"/>
  <c r="M420" i="1"/>
  <c r="K420" i="1"/>
  <c r="M419" i="1"/>
  <c r="K419" i="1"/>
  <c r="M418" i="1"/>
  <c r="K418" i="1"/>
  <c r="M417" i="1"/>
  <c r="K417" i="1"/>
  <c r="M416" i="1"/>
  <c r="K416" i="1"/>
  <c r="M415" i="1"/>
  <c r="K415" i="1"/>
  <c r="M414" i="1"/>
  <c r="K414" i="1"/>
  <c r="M413" i="1"/>
  <c r="K413" i="1"/>
  <c r="M412" i="1"/>
  <c r="K412" i="1"/>
  <c r="M411" i="1"/>
  <c r="K411" i="1"/>
  <c r="M410" i="1"/>
  <c r="K410" i="1"/>
  <c r="M408" i="1"/>
  <c r="K408" i="1"/>
  <c r="M407" i="1"/>
  <c r="K407" i="1"/>
  <c r="M406" i="1"/>
  <c r="K406" i="1"/>
  <c r="M405" i="1"/>
  <c r="K405" i="1"/>
  <c r="M404" i="1"/>
  <c r="K404" i="1"/>
  <c r="M403" i="1"/>
  <c r="K403" i="1"/>
  <c r="M402" i="1"/>
  <c r="K402" i="1"/>
  <c r="M401" i="1"/>
  <c r="K401" i="1"/>
  <c r="M400" i="1"/>
  <c r="K400" i="1"/>
  <c r="M399" i="1"/>
  <c r="K399" i="1"/>
  <c r="M398" i="1"/>
  <c r="K398" i="1"/>
  <c r="M384" i="1"/>
  <c r="K384" i="1"/>
  <c r="M383" i="1"/>
  <c r="K383" i="1"/>
  <c r="M382" i="1"/>
  <c r="K382" i="1"/>
  <c r="M381" i="1"/>
  <c r="K381" i="1"/>
  <c r="M380" i="1"/>
  <c r="K380" i="1"/>
  <c r="M379" i="1"/>
  <c r="K379" i="1"/>
  <c r="M378" i="1"/>
  <c r="K378" i="1"/>
  <c r="M377" i="1"/>
  <c r="K377" i="1"/>
  <c r="M376" i="1"/>
  <c r="K376" i="1"/>
  <c r="M375" i="1"/>
  <c r="K375" i="1"/>
  <c r="M374" i="1"/>
  <c r="K374" i="1"/>
  <c r="M396" i="1"/>
  <c r="K396" i="1"/>
  <c r="M395" i="1"/>
  <c r="K395" i="1"/>
  <c r="M394" i="1"/>
  <c r="K394" i="1"/>
  <c r="M393" i="1"/>
  <c r="K393" i="1"/>
  <c r="M392" i="1"/>
  <c r="K392" i="1"/>
  <c r="M391" i="1"/>
  <c r="K391" i="1"/>
  <c r="M390" i="1"/>
  <c r="K390" i="1"/>
  <c r="M389" i="1"/>
  <c r="K389" i="1"/>
  <c r="M388" i="1"/>
  <c r="K388" i="1"/>
  <c r="M387" i="1"/>
  <c r="K387" i="1"/>
  <c r="M386" i="1"/>
  <c r="K386" i="1"/>
  <c r="M372" i="1"/>
  <c r="K372" i="1"/>
  <c r="M371" i="1"/>
  <c r="K371" i="1"/>
  <c r="M370" i="1"/>
  <c r="K370" i="1"/>
  <c r="M369" i="1"/>
  <c r="K369" i="1"/>
  <c r="M368" i="1"/>
  <c r="K368" i="1"/>
  <c r="M367" i="1"/>
  <c r="K367" i="1"/>
  <c r="M366" i="1"/>
  <c r="K366" i="1"/>
  <c r="M365" i="1"/>
  <c r="K365" i="1"/>
  <c r="M364" i="1"/>
  <c r="K364" i="1"/>
  <c r="M363" i="1"/>
  <c r="K363" i="1"/>
  <c r="M362" i="1"/>
  <c r="K362" i="1"/>
  <c r="M360" i="1"/>
  <c r="K360" i="1"/>
  <c r="M359" i="1"/>
  <c r="K359" i="1"/>
  <c r="M358" i="1"/>
  <c r="K358" i="1"/>
  <c r="M357" i="1"/>
  <c r="K357" i="1"/>
  <c r="M356" i="1"/>
  <c r="K356" i="1"/>
  <c r="M355" i="1"/>
  <c r="K355" i="1"/>
  <c r="M354" i="1"/>
  <c r="K354" i="1"/>
  <c r="M353" i="1"/>
  <c r="K353" i="1"/>
  <c r="M352" i="1"/>
  <c r="K352" i="1"/>
  <c r="M351" i="1"/>
  <c r="K351" i="1"/>
  <c r="M350" i="1"/>
  <c r="K350" i="1"/>
  <c r="M348" i="1"/>
  <c r="K348" i="1"/>
  <c r="M347" i="1"/>
  <c r="K347" i="1"/>
  <c r="M346" i="1"/>
  <c r="K346" i="1"/>
  <c r="M345" i="1"/>
  <c r="K345" i="1"/>
  <c r="M344" i="1"/>
  <c r="K344" i="1"/>
  <c r="M343" i="1"/>
  <c r="K343" i="1"/>
  <c r="M342" i="1"/>
  <c r="K342" i="1"/>
  <c r="M341" i="1"/>
  <c r="K341" i="1"/>
  <c r="M340" i="1"/>
  <c r="K340" i="1"/>
  <c r="M339" i="1"/>
  <c r="K339" i="1"/>
  <c r="M338" i="1"/>
  <c r="K338" i="1"/>
  <c r="M336" i="1"/>
  <c r="K336" i="1"/>
  <c r="M335" i="1"/>
  <c r="K335" i="1"/>
  <c r="M334" i="1"/>
  <c r="K334" i="1"/>
  <c r="M333" i="1"/>
  <c r="K333" i="1"/>
  <c r="M332" i="1"/>
  <c r="K332" i="1"/>
  <c r="M331" i="1"/>
  <c r="K331" i="1"/>
  <c r="M330" i="1"/>
  <c r="K330" i="1"/>
  <c r="M329" i="1"/>
  <c r="K329" i="1"/>
  <c r="M328" i="1"/>
  <c r="K328" i="1"/>
  <c r="M327" i="1"/>
  <c r="K327" i="1"/>
  <c r="M326" i="1"/>
  <c r="K326" i="1"/>
  <c r="M324" i="1"/>
  <c r="K324" i="1"/>
  <c r="M323" i="1"/>
  <c r="K323" i="1"/>
  <c r="M322" i="1"/>
  <c r="K322" i="1"/>
  <c r="M321" i="1"/>
  <c r="K321" i="1"/>
  <c r="M320" i="1"/>
  <c r="K320" i="1"/>
  <c r="M319" i="1"/>
  <c r="K319" i="1"/>
  <c r="M318" i="1"/>
  <c r="K318" i="1"/>
  <c r="M317" i="1"/>
  <c r="K317" i="1"/>
  <c r="M316" i="1"/>
  <c r="K316" i="1"/>
  <c r="M315" i="1"/>
  <c r="K315" i="1"/>
  <c r="M314" i="1"/>
  <c r="K314" i="1"/>
  <c r="M312" i="1"/>
  <c r="K312" i="1"/>
  <c r="M311" i="1"/>
  <c r="K311" i="1"/>
  <c r="M310" i="1"/>
  <c r="K310" i="1"/>
  <c r="M309" i="1"/>
  <c r="K309" i="1"/>
  <c r="M308" i="1"/>
  <c r="K308" i="1"/>
  <c r="M307" i="1"/>
  <c r="K307" i="1"/>
  <c r="M306" i="1"/>
  <c r="K306" i="1"/>
  <c r="M305" i="1"/>
  <c r="K305" i="1"/>
  <c r="M304" i="1"/>
  <c r="K304" i="1"/>
  <c r="M303" i="1"/>
  <c r="K303" i="1"/>
  <c r="M302" i="1"/>
  <c r="K302" i="1"/>
  <c r="M300" i="1"/>
  <c r="K300" i="1"/>
  <c r="M299" i="1"/>
  <c r="K299" i="1"/>
  <c r="M298" i="1"/>
  <c r="K298" i="1"/>
  <c r="M297" i="1"/>
  <c r="K297" i="1"/>
  <c r="M296" i="1"/>
  <c r="K296" i="1"/>
  <c r="M295" i="1"/>
  <c r="K295" i="1"/>
  <c r="M294" i="1"/>
  <c r="K294" i="1"/>
  <c r="M293" i="1"/>
  <c r="K293" i="1"/>
  <c r="M292" i="1"/>
  <c r="K292" i="1"/>
  <c r="M291" i="1"/>
  <c r="K291" i="1"/>
  <c r="M290" i="1"/>
  <c r="K290" i="1"/>
  <c r="M288" i="1"/>
  <c r="K288" i="1"/>
  <c r="M287" i="1"/>
  <c r="K287" i="1"/>
  <c r="M286" i="1"/>
  <c r="K286" i="1"/>
  <c r="M285" i="1"/>
  <c r="K285" i="1"/>
  <c r="M284" i="1"/>
  <c r="K284" i="1"/>
  <c r="M283" i="1"/>
  <c r="K283" i="1"/>
  <c r="M282" i="1"/>
  <c r="K282" i="1"/>
  <c r="M281" i="1"/>
  <c r="K281" i="1"/>
  <c r="M280" i="1"/>
  <c r="K280" i="1"/>
  <c r="M279" i="1"/>
  <c r="K279" i="1"/>
  <c r="M278" i="1"/>
  <c r="K278" i="1"/>
  <c r="M276" i="1"/>
  <c r="K276" i="1"/>
  <c r="M275" i="1"/>
  <c r="K275" i="1"/>
  <c r="M274" i="1"/>
  <c r="K274" i="1"/>
  <c r="M273" i="1"/>
  <c r="K273" i="1"/>
  <c r="M272" i="1"/>
  <c r="K272" i="1"/>
  <c r="M271" i="1"/>
  <c r="K271" i="1"/>
  <c r="M270" i="1"/>
  <c r="K270" i="1"/>
  <c r="M269" i="1"/>
  <c r="K269" i="1"/>
  <c r="M268" i="1"/>
  <c r="K268" i="1"/>
  <c r="M267" i="1"/>
  <c r="K267" i="1"/>
  <c r="M266" i="1"/>
  <c r="K266" i="1"/>
  <c r="M264" i="1"/>
  <c r="K264" i="1"/>
  <c r="M263" i="1"/>
  <c r="K263" i="1"/>
  <c r="M262" i="1"/>
  <c r="K262" i="1"/>
  <c r="M261" i="1"/>
  <c r="K261" i="1"/>
  <c r="M260" i="1"/>
  <c r="K260" i="1"/>
  <c r="M259" i="1"/>
  <c r="K259" i="1"/>
  <c r="M258" i="1"/>
  <c r="K258" i="1"/>
  <c r="M257" i="1"/>
  <c r="K257" i="1"/>
  <c r="M256" i="1"/>
  <c r="K256" i="1"/>
  <c r="M255" i="1"/>
  <c r="K255" i="1"/>
  <c r="M254" i="1"/>
  <c r="K254" i="1"/>
  <c r="M252" i="1"/>
  <c r="K252" i="1"/>
  <c r="M251" i="1"/>
  <c r="K251" i="1"/>
  <c r="M250" i="1"/>
  <c r="K250" i="1"/>
  <c r="M249" i="1"/>
  <c r="K249" i="1"/>
  <c r="M248" i="1"/>
  <c r="K248" i="1"/>
  <c r="M247" i="1"/>
  <c r="K247" i="1"/>
  <c r="M246" i="1"/>
  <c r="K246" i="1"/>
  <c r="M245" i="1"/>
  <c r="K245" i="1"/>
  <c r="M244" i="1"/>
  <c r="K244" i="1"/>
  <c r="M243" i="1"/>
  <c r="K243" i="1"/>
  <c r="M242" i="1"/>
  <c r="K242" i="1"/>
  <c r="M240" i="1"/>
  <c r="K240" i="1"/>
  <c r="M239" i="1"/>
  <c r="K239" i="1"/>
  <c r="M238" i="1"/>
  <c r="K238" i="1"/>
  <c r="M237" i="1"/>
  <c r="K237" i="1"/>
  <c r="M236" i="1"/>
  <c r="K236" i="1"/>
  <c r="M235" i="1"/>
  <c r="K235" i="1"/>
  <c r="M234" i="1"/>
  <c r="K234" i="1"/>
  <c r="M233" i="1"/>
  <c r="K233" i="1"/>
  <c r="M232" i="1"/>
  <c r="K232" i="1"/>
  <c r="M231" i="1"/>
  <c r="K231" i="1"/>
  <c r="M230" i="1"/>
  <c r="K230" i="1"/>
  <c r="M216" i="1"/>
  <c r="K216" i="1"/>
  <c r="M215" i="1"/>
  <c r="K215" i="1"/>
  <c r="M214" i="1"/>
  <c r="K214" i="1"/>
  <c r="M213" i="1"/>
  <c r="K213" i="1"/>
  <c r="M212" i="1"/>
  <c r="K212" i="1"/>
  <c r="M211" i="1"/>
  <c r="K211" i="1"/>
  <c r="M210" i="1"/>
  <c r="K210" i="1"/>
  <c r="M209" i="1"/>
  <c r="K209" i="1"/>
  <c r="M208" i="1"/>
  <c r="K208" i="1"/>
  <c r="M207" i="1"/>
  <c r="K207" i="1"/>
  <c r="M206" i="1"/>
  <c r="K206" i="1"/>
  <c r="M228" i="1"/>
  <c r="K228" i="1"/>
  <c r="M227" i="1"/>
  <c r="K227" i="1"/>
  <c r="M226" i="1"/>
  <c r="K226" i="1"/>
  <c r="M225" i="1"/>
  <c r="K225" i="1"/>
  <c r="M224" i="1"/>
  <c r="K224" i="1"/>
  <c r="M223" i="1"/>
  <c r="K223" i="1"/>
  <c r="M222" i="1"/>
  <c r="K222" i="1"/>
  <c r="M221" i="1"/>
  <c r="K221" i="1"/>
  <c r="M220" i="1"/>
  <c r="K220" i="1"/>
  <c r="M219" i="1"/>
  <c r="K219" i="1"/>
  <c r="M218" i="1"/>
  <c r="K218" i="1"/>
  <c r="M204" i="1"/>
  <c r="K204" i="1"/>
  <c r="M203" i="1"/>
  <c r="K203" i="1"/>
  <c r="M202" i="1"/>
  <c r="K202" i="1"/>
  <c r="M201" i="1"/>
  <c r="K201" i="1"/>
  <c r="M200" i="1"/>
  <c r="K200" i="1"/>
  <c r="M199" i="1"/>
  <c r="K199" i="1"/>
  <c r="M198" i="1"/>
  <c r="K198" i="1"/>
  <c r="M197" i="1"/>
  <c r="K197" i="1"/>
  <c r="M196" i="1"/>
  <c r="K196" i="1"/>
  <c r="M195" i="1"/>
  <c r="K195" i="1"/>
  <c r="M194" i="1"/>
  <c r="K194" i="1"/>
  <c r="M192" i="1"/>
  <c r="K192" i="1"/>
  <c r="M191" i="1"/>
  <c r="K191" i="1"/>
  <c r="M190" i="1"/>
  <c r="K190" i="1"/>
  <c r="M189" i="1"/>
  <c r="K189" i="1"/>
  <c r="M188" i="1"/>
  <c r="K188" i="1"/>
  <c r="M187" i="1"/>
  <c r="K187" i="1"/>
  <c r="M186" i="1"/>
  <c r="K186" i="1"/>
  <c r="M185" i="1"/>
  <c r="K185" i="1"/>
  <c r="M184" i="1"/>
  <c r="K184" i="1"/>
  <c r="M183" i="1"/>
  <c r="K183" i="1"/>
  <c r="M182" i="1"/>
  <c r="K182" i="1"/>
  <c r="M180" i="1"/>
  <c r="K180" i="1"/>
  <c r="M179" i="1"/>
  <c r="K179" i="1"/>
  <c r="M178" i="1"/>
  <c r="K178" i="1"/>
  <c r="M177" i="1"/>
  <c r="K177" i="1"/>
  <c r="M176" i="1"/>
  <c r="K176" i="1"/>
  <c r="M175" i="1"/>
  <c r="K175" i="1"/>
  <c r="M174" i="1"/>
  <c r="K174" i="1"/>
  <c r="M173" i="1"/>
  <c r="K173" i="1"/>
  <c r="M172" i="1"/>
  <c r="K172" i="1"/>
  <c r="M171" i="1"/>
  <c r="K171" i="1"/>
  <c r="M170" i="1"/>
  <c r="K170" i="1"/>
  <c r="M168" i="1"/>
  <c r="K168" i="1"/>
  <c r="M167" i="1"/>
  <c r="K167" i="1"/>
  <c r="M166" i="1"/>
  <c r="K166" i="1"/>
  <c r="M165" i="1"/>
  <c r="K165" i="1"/>
  <c r="M164" i="1"/>
  <c r="K164" i="1"/>
  <c r="M163" i="1"/>
  <c r="K163" i="1"/>
  <c r="M162" i="1"/>
  <c r="K162" i="1"/>
  <c r="M161" i="1"/>
  <c r="K161" i="1"/>
  <c r="M160" i="1"/>
  <c r="K160" i="1"/>
  <c r="M159" i="1"/>
  <c r="K159" i="1"/>
  <c r="M158" i="1"/>
  <c r="K158" i="1"/>
  <c r="M156" i="1"/>
  <c r="K156" i="1"/>
  <c r="M155" i="1"/>
  <c r="K155" i="1"/>
  <c r="M154" i="1"/>
  <c r="K154" i="1"/>
  <c r="M153" i="1"/>
  <c r="K153" i="1"/>
  <c r="M152" i="1"/>
  <c r="K152" i="1"/>
  <c r="M151" i="1"/>
  <c r="K151" i="1"/>
  <c r="M150" i="1"/>
  <c r="K150" i="1"/>
  <c r="M149" i="1"/>
  <c r="K149" i="1"/>
  <c r="M148" i="1"/>
  <c r="K148" i="1"/>
  <c r="M147" i="1"/>
  <c r="K147" i="1"/>
  <c r="M146" i="1"/>
  <c r="K146" i="1"/>
  <c r="K136" i="1"/>
  <c r="M144" i="1"/>
  <c r="K144" i="1"/>
  <c r="M143" i="1"/>
  <c r="K143" i="1"/>
  <c r="M142" i="1"/>
  <c r="K142" i="1"/>
  <c r="M141" i="1"/>
  <c r="K141" i="1"/>
  <c r="M140" i="1"/>
  <c r="K140" i="1"/>
  <c r="M139" i="1"/>
  <c r="K139" i="1"/>
  <c r="M138" i="1"/>
  <c r="K138" i="1"/>
  <c r="M137" i="1"/>
  <c r="K137" i="1"/>
  <c r="M136" i="1"/>
  <c r="M135" i="1"/>
  <c r="K135" i="1"/>
  <c r="M134" i="1"/>
  <c r="K134" i="1"/>
  <c r="M132" i="1"/>
  <c r="K132" i="1"/>
  <c r="M131" i="1"/>
  <c r="K131" i="1"/>
  <c r="M130" i="1"/>
  <c r="K130" i="1"/>
  <c r="M129" i="1"/>
  <c r="K129" i="1"/>
  <c r="M128" i="1"/>
  <c r="K128" i="1"/>
  <c r="M127" i="1"/>
  <c r="K127" i="1"/>
  <c r="M126" i="1"/>
  <c r="K126" i="1"/>
  <c r="M125" i="1"/>
  <c r="K125" i="1"/>
  <c r="M124" i="1"/>
  <c r="K124" i="1"/>
  <c r="M123" i="1"/>
  <c r="K123" i="1"/>
  <c r="M122" i="1"/>
  <c r="K122" i="1"/>
  <c r="M120" i="1"/>
  <c r="K120" i="1"/>
  <c r="M119" i="1"/>
  <c r="K119" i="1"/>
  <c r="M118" i="1"/>
  <c r="K118" i="1"/>
  <c r="M117" i="1"/>
  <c r="K117" i="1"/>
  <c r="M116" i="1"/>
  <c r="K116" i="1"/>
  <c r="M115" i="1"/>
  <c r="K115" i="1"/>
  <c r="M114" i="1"/>
  <c r="K114" i="1"/>
  <c r="M113" i="1"/>
  <c r="K113" i="1"/>
  <c r="M112" i="1"/>
  <c r="K112" i="1"/>
  <c r="M111" i="1"/>
  <c r="K111" i="1"/>
  <c r="M110" i="1"/>
  <c r="K110" i="1"/>
  <c r="M108" i="1"/>
  <c r="K108" i="1"/>
  <c r="M107" i="1"/>
  <c r="K107" i="1"/>
  <c r="M106" i="1"/>
  <c r="K106" i="1"/>
  <c r="M105" i="1"/>
  <c r="K105" i="1"/>
  <c r="M104" i="1"/>
  <c r="K104" i="1"/>
  <c r="M103" i="1"/>
  <c r="K103" i="1"/>
  <c r="M102" i="1"/>
  <c r="K102" i="1"/>
  <c r="M101" i="1"/>
  <c r="K101" i="1"/>
  <c r="M100" i="1"/>
  <c r="K100" i="1"/>
  <c r="M99" i="1"/>
  <c r="K99" i="1"/>
  <c r="M98" i="1"/>
  <c r="K98" i="1"/>
  <c r="M96" i="1"/>
  <c r="K96" i="1"/>
  <c r="M95" i="1"/>
  <c r="K95" i="1"/>
  <c r="M94" i="1"/>
  <c r="K94" i="1"/>
  <c r="M93" i="1"/>
  <c r="K93" i="1"/>
  <c r="M92" i="1"/>
  <c r="K92" i="1"/>
  <c r="M91" i="1"/>
  <c r="K91" i="1"/>
  <c r="M90" i="1"/>
  <c r="K90" i="1"/>
  <c r="M89" i="1"/>
  <c r="K89" i="1"/>
  <c r="M88" i="1"/>
  <c r="K88" i="1"/>
  <c r="M87" i="1"/>
  <c r="K87" i="1"/>
  <c r="M86" i="1"/>
  <c r="K86" i="1"/>
  <c r="M84" i="1"/>
  <c r="K84" i="1"/>
  <c r="M83" i="1"/>
  <c r="K83" i="1"/>
  <c r="M82" i="1"/>
  <c r="K82" i="1"/>
  <c r="M81" i="1"/>
  <c r="K81" i="1"/>
  <c r="M80" i="1"/>
  <c r="K80" i="1"/>
  <c r="M79" i="1"/>
  <c r="K79" i="1"/>
  <c r="M78" i="1"/>
  <c r="K78" i="1"/>
  <c r="M77" i="1"/>
  <c r="K77" i="1"/>
  <c r="M76" i="1"/>
  <c r="K76" i="1"/>
  <c r="M75" i="1"/>
  <c r="K75" i="1"/>
  <c r="M74" i="1"/>
  <c r="K74" i="1"/>
  <c r="M72" i="1"/>
  <c r="K72" i="1"/>
  <c r="M71" i="1"/>
  <c r="K71" i="1"/>
  <c r="M70" i="1"/>
  <c r="K70" i="1"/>
  <c r="M69" i="1"/>
  <c r="K69" i="1"/>
  <c r="M68" i="1"/>
  <c r="K68" i="1"/>
  <c r="M67" i="1"/>
  <c r="K67" i="1"/>
  <c r="M66" i="1"/>
  <c r="K66" i="1"/>
  <c r="M65" i="1"/>
  <c r="K65" i="1"/>
  <c r="M64" i="1"/>
  <c r="K64" i="1"/>
  <c r="M63" i="1"/>
  <c r="K63" i="1"/>
  <c r="M62" i="1"/>
  <c r="K62" i="1"/>
  <c r="M60" i="1"/>
  <c r="K60" i="1"/>
  <c r="M59" i="1"/>
  <c r="K59" i="1"/>
  <c r="M58" i="1"/>
  <c r="K58" i="1"/>
  <c r="M57" i="1"/>
  <c r="K57" i="1"/>
  <c r="M56" i="1"/>
  <c r="K56" i="1"/>
  <c r="M55" i="1"/>
  <c r="K55" i="1"/>
  <c r="M54" i="1"/>
  <c r="K54" i="1"/>
  <c r="M53" i="1"/>
  <c r="K53" i="1"/>
  <c r="M52" i="1"/>
  <c r="K52" i="1"/>
  <c r="M51" i="1"/>
  <c r="K51" i="1"/>
  <c r="M50" i="1"/>
  <c r="K50" i="1"/>
  <c r="M48" i="1"/>
  <c r="K48" i="1"/>
  <c r="M47" i="1"/>
  <c r="K47" i="1"/>
  <c r="M46" i="1"/>
  <c r="K46" i="1"/>
  <c r="M45" i="1"/>
  <c r="K45" i="1"/>
  <c r="M44" i="1"/>
  <c r="K44" i="1"/>
  <c r="M43" i="1"/>
  <c r="K43" i="1"/>
  <c r="M42" i="1"/>
  <c r="K42" i="1"/>
  <c r="M41" i="1"/>
  <c r="K41" i="1"/>
  <c r="M40" i="1"/>
  <c r="K40" i="1"/>
  <c r="M39" i="1"/>
  <c r="K39" i="1"/>
  <c r="M38" i="1"/>
  <c r="K38" i="1"/>
  <c r="M36" i="1"/>
  <c r="K36" i="1"/>
  <c r="M35" i="1"/>
  <c r="K35" i="1"/>
  <c r="M34" i="1"/>
  <c r="K34" i="1"/>
  <c r="M33" i="1"/>
  <c r="K33" i="1"/>
  <c r="M32" i="1"/>
  <c r="K32" i="1"/>
  <c r="M31" i="1"/>
  <c r="K31" i="1"/>
  <c r="M30" i="1"/>
  <c r="K30" i="1"/>
  <c r="M29" i="1"/>
  <c r="K29" i="1"/>
  <c r="M28" i="1"/>
  <c r="K28" i="1"/>
  <c r="M27" i="1"/>
  <c r="K27" i="1"/>
  <c r="M26" i="1"/>
  <c r="K26" i="1"/>
  <c r="M24" i="1"/>
  <c r="K24" i="1"/>
  <c r="M23" i="1"/>
  <c r="K23" i="1"/>
  <c r="M22" i="1"/>
  <c r="K22" i="1"/>
  <c r="M21" i="1"/>
  <c r="K21" i="1"/>
  <c r="M20" i="1"/>
  <c r="K20" i="1"/>
  <c r="M19" i="1"/>
  <c r="K19" i="1"/>
  <c r="M18" i="1"/>
  <c r="K18" i="1"/>
  <c r="M17" i="1"/>
  <c r="K17" i="1"/>
  <c r="M16" i="1"/>
  <c r="K16" i="1"/>
  <c r="M15" i="1"/>
  <c r="K15" i="1"/>
  <c r="M14" i="1"/>
  <c r="K14" i="1"/>
  <c r="AV3" i="1"/>
  <c r="AW3" i="1" s="1"/>
  <c r="AX3" i="1" s="1"/>
  <c r="AV4" i="1"/>
  <c r="AW4" i="1" s="1"/>
  <c r="AX4" i="1" s="1"/>
  <c r="AV5" i="1"/>
  <c r="AB5" i="1" s="1"/>
  <c r="AV6" i="1"/>
  <c r="AB6" i="1" s="1"/>
  <c r="AV7" i="1"/>
  <c r="AW7" i="1" s="1"/>
  <c r="AX7" i="1" s="1"/>
  <c r="AV8" i="1"/>
  <c r="AW8" i="1" s="1"/>
  <c r="AX8" i="1" s="1"/>
  <c r="AS8" i="1" s="1"/>
  <c r="AT8" i="1" s="1"/>
  <c r="AV9" i="1"/>
  <c r="AW9" i="1" s="1"/>
  <c r="AX9" i="1" s="1"/>
  <c r="AV10" i="1"/>
  <c r="AW10" i="1" s="1"/>
  <c r="AX10" i="1" s="1"/>
  <c r="AV11" i="1"/>
  <c r="AW11" i="1" s="1"/>
  <c r="AX11" i="1" s="1"/>
  <c r="AV12" i="1"/>
  <c r="AB12" i="1" s="1"/>
  <c r="M3" i="1"/>
  <c r="M4" i="1"/>
  <c r="M5" i="1"/>
  <c r="M6" i="1"/>
  <c r="M7" i="1"/>
  <c r="M8" i="1"/>
  <c r="M9" i="1"/>
  <c r="M10" i="1"/>
  <c r="M11" i="1"/>
  <c r="M12" i="1"/>
  <c r="M2" i="1"/>
  <c r="K3" i="1"/>
  <c r="K4" i="1"/>
  <c r="K5" i="1"/>
  <c r="K6" i="1"/>
  <c r="K7" i="1"/>
  <c r="K8" i="1"/>
  <c r="K9" i="1"/>
  <c r="K10" i="1"/>
  <c r="K11" i="1"/>
  <c r="K12" i="1"/>
  <c r="K2" i="1"/>
  <c r="AW6" i="1" l="1"/>
  <c r="AX6" i="1" s="1"/>
  <c r="AS6" i="1" s="1"/>
  <c r="AT6" i="1" s="1"/>
  <c r="AW12" i="1"/>
  <c r="AX12" i="1" s="1"/>
  <c r="AW5" i="1"/>
  <c r="AX5" i="1" s="1"/>
  <c r="AC5" i="1" s="1"/>
  <c r="AU5" i="1" s="1"/>
  <c r="AB9" i="1"/>
  <c r="AB8" i="1"/>
  <c r="AB10" i="1"/>
  <c r="AS4" i="1"/>
  <c r="AT4" i="1" s="1"/>
  <c r="AB4" i="1"/>
  <c r="AB7" i="1"/>
  <c r="AS12" i="1"/>
  <c r="AT12" i="1" s="1"/>
  <c r="AS11" i="1"/>
  <c r="AT11" i="1" s="1"/>
  <c r="AS3" i="1"/>
  <c r="AT3" i="1" s="1"/>
  <c r="AB11" i="1"/>
  <c r="AB3" i="1"/>
  <c r="AS10" i="1"/>
  <c r="AT10" i="1" s="1"/>
  <c r="AS9" i="1"/>
  <c r="AT9" i="1" s="1"/>
  <c r="AS7" i="1"/>
  <c r="AT7" i="1" s="1"/>
  <c r="AV2" i="1"/>
  <c r="AD2" i="1" s="1"/>
  <c r="AD3" i="1" s="1"/>
  <c r="AD4" i="1" s="1"/>
  <c r="AD5" i="1" s="1"/>
  <c r="AD6" i="1" s="1"/>
  <c r="AD7" i="1" s="1"/>
  <c r="AD8" i="1" s="1"/>
  <c r="AD9" i="1" s="1"/>
  <c r="AD10" i="1" s="1"/>
  <c r="AD11" i="1" s="1"/>
  <c r="AD12" i="1" s="1"/>
  <c r="AL2" i="1"/>
  <c r="AL3" i="1" s="1"/>
  <c r="AG10" i="1"/>
  <c r="AG11" i="1" s="1"/>
  <c r="AG12" i="1" s="1"/>
  <c r="AC3" i="1"/>
  <c r="AU3" i="1" s="1"/>
  <c r="AC4" i="1"/>
  <c r="AU4" i="1" s="1"/>
  <c r="AC7" i="1"/>
  <c r="AU7" i="1" s="1"/>
  <c r="AC8" i="1"/>
  <c r="AU8" i="1" s="1"/>
  <c r="AC9" i="1"/>
  <c r="AU9" i="1" s="1"/>
  <c r="AC10" i="1"/>
  <c r="AU10" i="1" s="1"/>
  <c r="AC11" i="1"/>
  <c r="AU11" i="1" s="1"/>
  <c r="AC12" i="1"/>
  <c r="AU12" i="1" s="1"/>
  <c r="AC6" i="1" l="1"/>
  <c r="AU6" i="1" s="1"/>
  <c r="AS5" i="1"/>
  <c r="AT5" i="1" s="1"/>
  <c r="AW2" i="1"/>
  <c r="AB2" i="1"/>
  <c r="AR2" i="1"/>
  <c r="AR3" i="1"/>
  <c r="AL4" i="1"/>
  <c r="AX2" i="1" l="1"/>
  <c r="AY2" i="1"/>
  <c r="AY3" i="1" s="1"/>
  <c r="AY4" i="1" s="1"/>
  <c r="AY5" i="1" s="1"/>
  <c r="AY6" i="1" s="1"/>
  <c r="AY7" i="1" s="1"/>
  <c r="AY8" i="1" s="1"/>
  <c r="AY9" i="1" s="1"/>
  <c r="AY10" i="1" s="1"/>
  <c r="AY11" i="1" s="1"/>
  <c r="AY12" i="1" s="1"/>
  <c r="AR4" i="1"/>
  <c r="AL5" i="1"/>
  <c r="AF2" i="1" l="1"/>
  <c r="AF3" i="1" s="1"/>
  <c r="AF4" i="1" s="1"/>
  <c r="AF5" i="1" s="1"/>
  <c r="AF6" i="1" s="1"/>
  <c r="AF7" i="1" s="1"/>
  <c r="AF8" i="1" s="1"/>
  <c r="AF9" i="1" s="1"/>
  <c r="AF10" i="1" s="1"/>
  <c r="AF11" i="1" s="1"/>
  <c r="AF12" i="1" s="1"/>
  <c r="AS2" i="1"/>
  <c r="AT2" i="1" s="1"/>
  <c r="AK2" i="1" s="1"/>
  <c r="AK3" i="1" s="1"/>
  <c r="AK4" i="1" s="1"/>
  <c r="AK5" i="1" s="1"/>
  <c r="AK6" i="1" s="1"/>
  <c r="AK7" i="1" s="1"/>
  <c r="AK8" i="1" s="1"/>
  <c r="AK9" i="1" s="1"/>
  <c r="AK10" i="1" s="1"/>
  <c r="AK11" i="1" s="1"/>
  <c r="AK12" i="1" s="1"/>
  <c r="AC2" i="1"/>
  <c r="AU2" i="1" s="1"/>
  <c r="AJ2" i="1" s="1"/>
  <c r="AJ3" i="1" s="1"/>
  <c r="AJ4" i="1" s="1"/>
  <c r="AJ5" i="1" s="1"/>
  <c r="AJ6" i="1" s="1"/>
  <c r="AJ7" i="1" s="1"/>
  <c r="AJ8" i="1" s="1"/>
  <c r="AJ9" i="1" s="1"/>
  <c r="AJ10" i="1" s="1"/>
  <c r="AJ11" i="1" s="1"/>
  <c r="AJ12" i="1" s="1"/>
  <c r="AL6" i="1"/>
  <c r="AR5" i="1"/>
  <c r="AL7" i="1" l="1"/>
  <c r="AR6" i="1"/>
  <c r="AL8" i="1" l="1"/>
  <c r="AR7" i="1"/>
  <c r="AL9" i="1" l="1"/>
  <c r="AR8" i="1"/>
  <c r="AL10" i="1" l="1"/>
  <c r="AR9" i="1"/>
  <c r="AR10" i="1" l="1"/>
  <c r="AL11" i="1"/>
  <c r="AL12" i="1" l="1"/>
  <c r="AR12" i="1" s="1"/>
  <c r="AR1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<sst xmlns="http://schemas.openxmlformats.org/spreadsheetml/2006/main" count="2365" uniqueCount="111">
  <si>
    <t>StudentId</t>
  </si>
  <si>
    <t>ExamRollNo</t>
  </si>
  <si>
    <t>StudentName</t>
  </si>
  <si>
    <t>CourseName</t>
  </si>
  <si>
    <t>Semester_No</t>
  </si>
  <si>
    <t>IsBackLog</t>
  </si>
  <si>
    <t>SubjectCode</t>
  </si>
  <si>
    <t>SubjectName</t>
  </si>
  <si>
    <t>Subject_Credit</t>
  </si>
  <si>
    <t>Internal_Marks</t>
  </si>
  <si>
    <t>Intenal_Grade</t>
  </si>
  <si>
    <t>External_Marks</t>
  </si>
  <si>
    <t>External_Grade</t>
  </si>
  <si>
    <t>Practical_Marks</t>
  </si>
  <si>
    <t>Practical_Grade</t>
  </si>
  <si>
    <t>Internal_Common_Grace</t>
  </si>
  <si>
    <t>Internal_Condonation_Grace</t>
  </si>
  <si>
    <t>Internal_General_Grace</t>
  </si>
  <si>
    <t>Internal_LD_Grace</t>
  </si>
  <si>
    <t>Internal_NCC_Grace</t>
  </si>
  <si>
    <t>External_Common_Grace</t>
  </si>
  <si>
    <t>External_Condonation_Grace</t>
  </si>
  <si>
    <t>External_General_Grace</t>
  </si>
  <si>
    <t>External_LD_Grace</t>
  </si>
  <si>
    <t>External_NCC_Grace</t>
  </si>
  <si>
    <t>Distinction_Grace</t>
  </si>
  <si>
    <t>SubjectTotalMarks</t>
  </si>
  <si>
    <t>SUBJECT PERCENT</t>
  </si>
  <si>
    <t>SubjectGrade</t>
  </si>
  <si>
    <t>Semester_TotalMarksObtained</t>
  </si>
  <si>
    <t>Semester_OutOfMarks</t>
  </si>
  <si>
    <t>Semester_Percenatge</t>
  </si>
  <si>
    <t>Result</t>
  </si>
  <si>
    <t>ResultDate</t>
  </si>
  <si>
    <t>Semester_RegistredCredit</t>
  </si>
  <si>
    <t>Semester_EarnCredit</t>
  </si>
  <si>
    <t>Semester_EarnedGradePoint</t>
  </si>
  <si>
    <t>GRADE POINT</t>
  </si>
  <si>
    <t>Credit Points (CP) = Credit*GP</t>
  </si>
  <si>
    <t>SGPA</t>
  </si>
  <si>
    <t>Semester_OverallGrade</t>
  </si>
  <si>
    <t>CumullativeRegistredCredit</t>
  </si>
  <si>
    <t>CumullativeEarnCredit</t>
  </si>
  <si>
    <t>CumullativeEarnedGradePoint</t>
  </si>
  <si>
    <t>CGPA</t>
  </si>
  <si>
    <t>OverallGrade</t>
  </si>
  <si>
    <t>BANE SHREYASH RAJESH RUPALI</t>
  </si>
  <si>
    <t>Bachelor of Arts(Multimedia and Mass Communication)</t>
  </si>
  <si>
    <t>NO</t>
  </si>
  <si>
    <t>IT_Google Workspace</t>
  </si>
  <si>
    <t>2.00</t>
  </si>
  <si>
    <t>Entrepreneurship Management (OE)</t>
  </si>
  <si>
    <t>Evolution of Communication</t>
  </si>
  <si>
    <t>Fundamentals of Mass Communication</t>
  </si>
  <si>
    <t>Contemporary Affairs</t>
  </si>
  <si>
    <t>Visual Communication</t>
  </si>
  <si>
    <t>Introduction to Computers - I</t>
  </si>
  <si>
    <t>Communication Skills in English I (BA)</t>
  </si>
  <si>
    <t>Introduction to cultural activites</t>
  </si>
  <si>
    <t>Indian Knowledge System</t>
  </si>
  <si>
    <t>Foundation of Behavioral Skills- Basic Level</t>
  </si>
  <si>
    <t>YES</t>
  </si>
  <si>
    <t>PASS</t>
  </si>
  <si>
    <t>FAIL</t>
  </si>
  <si>
    <t>SUBJECT-WISE</t>
  </si>
  <si>
    <t>BHOSALE UNNATI VIJAY</t>
  </si>
  <si>
    <t>DAHIHANDE SUSHANT NARENDRA</t>
  </si>
  <si>
    <t>DHIVARE ASHTAMI SIDDHARTH</t>
  </si>
  <si>
    <t>GAIKWAD SHRADDHA SHAILENDRAKUMAR</t>
  </si>
  <si>
    <t>GAJUL AKANSHA SHRINIVAS</t>
  </si>
  <si>
    <t>GAUD POOJA SANTOSH</t>
  </si>
  <si>
    <t>GHOGARE APARNA ANKUSH</t>
  </si>
  <si>
    <t>GUPTA SEJAL BRIJLAL</t>
  </si>
  <si>
    <t>JAISWAR AMAN AJAY KUMAR</t>
  </si>
  <si>
    <t>KADAM PURVA  DEEPAK</t>
  </si>
  <si>
    <t>KANSE SAKSHI SUBHASH</t>
  </si>
  <si>
    <t>KHARAT RASHI VIKAS</t>
  </si>
  <si>
    <t>KHARE GAURI UMESH</t>
  </si>
  <si>
    <t>MAYURYA BAJRANGI RAMMILAN</t>
  </si>
  <si>
    <t>PATIL DIKSHA GANESH</t>
  </si>
  <si>
    <t>PATIL PREM HEMANT</t>
  </si>
  <si>
    <t>PATRALE SAMITA SHAILESH</t>
  </si>
  <si>
    <t>POOJARY ARYA VINAY</t>
  </si>
  <si>
    <t>RAMBADE SANIKA SANTOSH</t>
  </si>
  <si>
    <t>RANA PRACHI BIRENDRA</t>
  </si>
  <si>
    <t>RANE KUNAL GAJANAN</t>
  </si>
  <si>
    <t>RODDE SAKSHI BALAJI</t>
  </si>
  <si>
    <t>SHETTY HITESH NILESH</t>
  </si>
  <si>
    <t>SHIVARE NEHA BALASO</t>
  </si>
  <si>
    <t>SINGH KRISHNAPRATAP UMASHANKAR</t>
  </si>
  <si>
    <t>SONI KHADIJA ABBAS</t>
  </si>
  <si>
    <t>SURYAWANSHI ROHIT SANDEEP</t>
  </si>
  <si>
    <t>VEER DARSHANA GANESH</t>
  </si>
  <si>
    <t>MANE ROHIT DILIP</t>
  </si>
  <si>
    <t>ADSULE ATHARVA SANTOSH</t>
  </si>
  <si>
    <t>GHUME AMEY ANIL</t>
  </si>
  <si>
    <t>Introduction to Sports, Physical Literacy, Health &amp; Fitness and Yoga</t>
  </si>
  <si>
    <t>BHOSALE TANMAY SUDHAKAR</t>
  </si>
  <si>
    <t>KINARE SUMIT MACHINDRA</t>
  </si>
  <si>
    <t>KIR ABHIJIT SANTOSH</t>
  </si>
  <si>
    <t>LOTE SUMIT PRAKASH</t>
  </si>
  <si>
    <t>MAGAR ADITYA RAM</t>
  </si>
  <si>
    <t>MANE DHANANJAY KRISHNA</t>
  </si>
  <si>
    <t>MANSURI YAKUB SHABUDDIN</t>
  </si>
  <si>
    <t>PATIL DARSHAN EKNATH</t>
  </si>
  <si>
    <t>SHETTY SHREYAS UDYA</t>
  </si>
  <si>
    <t>TELORE LAVESH SANJAY</t>
  </si>
  <si>
    <t>GRACE MARKS</t>
  </si>
  <si>
    <t>NEW TOTAL</t>
  </si>
  <si>
    <t>INTERNAL AND EXTERNALTotalMarks</t>
  </si>
  <si>
    <t>TOTAL SEM 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</si>
</sst>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font>
      <sz val="11"/>
      <color theme="1"/>
      <name val="Calibri"/>
      <charset val="134"/>
      <scheme val="minor"/>
    </font>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b/>
      <sz val="11"/>
      <color theme="1"/>
      <name val="Calibri"/>
      <family val="2"/>
      <scheme val="minor"/>
    </font>
  </fonts>
  <fills count="7">
    <fill>
      <patternFill patternType="none"/>
    </fill>
    <fill>
      <patternFill patternType="gray125"/>
    </fill>
    <fill>
      <patternFill patternType="solid">
        <fgColor rgb="FFFF1919"/>
        <bgColor indexed="64"/>
      </patternFill>
    </fill>
    <fill>
      <patternFill patternType="solid">
        <fgColor rgb="FFFF0000"/>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alignment vertical="center"/>
    </xf>
  </cellStyleXfs>
  <cellXfs count="39">
    <xf numFmtId="0" fontId="0" fillId="0" borderId="0" xfId="0">
      <alignment vertical="center"/>
    </xf>
    <xf numFmtId="0" fontId="0" fillId="0" borderId="0" xfId="0" applyAlignment="1">
      <alignment horizontal="center" vertical="center"/>
    </xf>
    <xf numFmtId="0" fontId="2" fillId="0" borderId="0" xfId="0" applyFont="1" applyAlignment="1">
      <alignment horizontal="left" vertical="center"/>
    </xf>
    <xf numFmtId="0" fontId="0" fillId="0" borderId="0" xfId="0" applyAlignment="1">
      <alignment horizontal="center"/>
    </xf>
    <xf numFmtId="0" fontId="2" fillId="0" borderId="0" xfId="0" applyFont="1" applyAlignment="1">
      <alignment horizontal="left" vertical="center" wrapText="1"/>
    </xf>
    <xf numFmtId="0" fontId="0" fillId="0" borderId="0" xfId="0" quotePrefix="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2" fontId="0" fillId="0" borderId="0" xfId="0" applyNumberFormat="1" applyAlignment="1">
      <alignment horizontal="center" vertical="center"/>
    </xf>
    <xf numFmtId="0" fontId="0" fillId="0" borderId="0" xfId="0" applyAlignment="1"/>
    <xf numFmtId="164" fontId="0" fillId="0" borderId="0" xfId="0" applyNumberFormat="1" applyAlignment="1">
      <alignment horizontal="center" vertical="center"/>
    </xf>
    <xf numFmtId="0" fontId="3" fillId="3" borderId="0" xfId="0" applyFont="1" applyFill="1" applyAlignment="1">
      <alignment horizontal="left" vertical="center"/>
    </xf>
    <xf numFmtId="0" fontId="0" fillId="0" borderId="0" xfId="0" applyAlignment="1">
      <alignment horizontal="left"/>
    </xf>
    <xf numFmtId="0" fontId="5" fillId="0" borderId="0" xfId="0" applyFont="1" applyAlignment="1">
      <alignment horizontal="center" vertical="center"/>
    </xf>
    <xf numFmtId="0" fontId="3" fillId="5" borderId="0" xfId="0" applyFont="1" applyFill="1" applyAlignment="1">
      <alignment horizontal="center" vertical="center"/>
    </xf>
    <xf numFmtId="2" fontId="5" fillId="0" borderId="0" xfId="0" applyNumberFormat="1" applyFont="1" applyAlignment="1">
      <alignment horizontal="center" vertical="center"/>
    </xf>
    <xf numFmtId="2" fontId="5" fillId="0" borderId="0" xfId="0" applyNumberFormat="1" applyFont="1" applyAlignment="1">
      <alignment horizontal="center"/>
    </xf>
    <xf numFmtId="0" fontId="5" fillId="6" borderId="0" xfId="0" applyFont="1" applyFill="1" applyAlignment="1">
      <alignment horizontal="left" vertical="center"/>
    </xf>
    <xf numFmtId="0" fontId="0" fillId="5" borderId="0" xfId="0" applyFill="1" applyAlignment="1">
      <alignment horizontal="center" vertical="center"/>
    </xf>
    <xf numFmtId="0" fontId="0" fillId="5" borderId="0" xfId="0" applyFill="1">
      <alignment vertical="center"/>
    </xf>
    <xf numFmtId="0" fontId="0" fillId="5" borderId="0" xfId="0" applyFill="1" applyAlignment="1">
      <alignment horizontal="center"/>
    </xf>
    <xf numFmtId="0" fontId="2" fillId="5" borderId="0" xfId="0" applyFont="1" applyFill="1" applyAlignment="1">
      <alignment horizontal="left" vertical="center"/>
    </xf>
    <xf numFmtId="0" fontId="0" fillId="5" borderId="0" xfId="0" quotePrefix="1" applyFill="1" applyAlignment="1">
      <alignment horizontal="center" vertical="center"/>
    </xf>
    <xf numFmtId="0" fontId="2" fillId="5" borderId="0" xfId="0" applyFont="1" applyFill="1" applyAlignment="1">
      <alignment horizontal="center" vertical="center"/>
    </xf>
    <xf numFmtId="0" fontId="5" fillId="5" borderId="0" xfId="0" applyFont="1" applyFill="1" applyAlignment="1">
      <alignment horizontal="center" vertical="center"/>
    </xf>
    <xf numFmtId="2" fontId="5" fillId="5" borderId="0" xfId="0" applyNumberFormat="1" applyFont="1" applyFill="1" applyAlignment="1">
      <alignment horizontal="center" vertical="center"/>
    </xf>
    <xf numFmtId="164" fontId="0" fillId="5" borderId="0" xfId="0" applyNumberFormat="1" applyFill="1" applyAlignment="1">
      <alignment horizontal="center" vertical="center"/>
    </xf>
    <xf numFmtId="2" fontId="5" fillId="5" borderId="0" xfId="0" applyNumberFormat="1" applyFont="1" applyFill="1" applyAlignment="1">
      <alignment horizontal="center"/>
    </xf>
    <xf numFmtId="2" fontId="0" fillId="5" borderId="0" xfId="0" applyNumberFormat="1" applyFill="1" applyAlignment="1">
      <alignment horizontal="center" vertical="center"/>
    </xf>
    <xf numFmtId="0" fontId="2" fillId="5" borderId="0" xfId="0" applyFont="1" applyFill="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center"/>
    </xf>
    <xf numFmtId="0" fontId="4" fillId="2" borderId="0" xfId="0" applyFont="1" applyFill="1" applyAlignment="1">
      <alignment horizontal="left" vertical="center"/>
    </xf>
    <xf numFmtId="0" fontId="3" fillId="0" borderId="0" xfId="0" applyFont="1" applyAlignment="1">
      <alignment horizontal="left" vertical="center"/>
    </xf>
    <xf numFmtId="0" fontId="3" fillId="5" borderId="0" xfId="0" applyFont="1" applyFill="1" applyAlignment="1">
      <alignment horizontal="left" vertical="center"/>
    </xf>
    <xf numFmtId="164" fontId="3" fillId="3" borderId="0" xfId="0" applyNumberFormat="1" applyFont="1" applyFill="1" applyAlignment="1">
      <alignment horizontal="left" vertical="center"/>
    </xf>
    <xf numFmtId="0" fontId="3" fillId="4" borderId="0" xfId="0" applyFont="1" applyFill="1" applyAlignment="1">
      <alignment horizontal="left" vertical="center"/>
    </xf>
    <xf numFmtId="0" fontId="3" fillId="6" borderId="0" xfId="0" applyFont="1" applyFill="1" applyAlignment="1">
      <alignment horizontal="left" vertical="center"/>
    </xf>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504"/>
  <sheetViews>
    <sheetView tabSelected="1" topLeftCell="H1" zoomScale="130" zoomScaleNormal="130" workbookViewId="0">
      <pane ySplit="1" topLeftCell="A2" activePane="bottomLeft" state="frozen"/>
      <selection pane="bottomLeft" activeCell="AA11" sqref="AA11"/>
    </sheetView>
  </sheetViews>
  <sheetFormatPr defaultColWidth="8.88671875" defaultRowHeight="14.4"/>
  <cols>
    <col min="1" max="1" width="8.88671875" style="7"/>
    <col min="2" max="2" width="11.88671875" style="31" customWidth="1"/>
    <col min="3" max="3" width="29.44140625" style="38" bestFit="1" customWidth="1"/>
    <col min="4" max="4" width="51.109375" style="9" bestFit="1" customWidth="1"/>
    <col min="5" max="5" width="13" style="3" customWidth="1"/>
    <col min="6" max="6" width="8.88671875" style="1"/>
    <col min="7" max="7" width="12" style="3" customWidth="1"/>
    <col min="8" max="8" width="40" style="12" bestFit="1" customWidth="1"/>
    <col min="9" max="9" width="13.88671875" style="3" customWidth="1"/>
    <col min="10" max="10" width="8.44140625" style="3" customWidth="1"/>
    <col min="11" max="11" width="13" style="3" customWidth="1"/>
    <col min="12" max="12" width="8.88671875" style="3" customWidth="1"/>
    <col min="13" max="13" width="9.109375" style="3" customWidth="1"/>
    <col min="14" max="14" width="14.6640625" style="3" hidden="1" customWidth="1"/>
    <col min="15" max="15" width="14.5546875" style="3" hidden="1" customWidth="1"/>
    <col min="16" max="17" width="26" style="3" hidden="1" customWidth="1"/>
    <col min="18" max="18" width="21.33203125" style="3" hidden="1" customWidth="1"/>
    <col min="19" max="19" width="16.5546875" style="3" hidden="1" customWidth="1"/>
    <col min="20" max="20" width="18.109375" style="3" hidden="1" customWidth="1"/>
    <col min="21" max="22" width="27.6640625" style="3" hidden="1" customWidth="1"/>
    <col min="23" max="23" width="22.88671875" style="3" hidden="1" customWidth="1"/>
    <col min="24" max="24" width="18.109375" style="3" hidden="1" customWidth="1"/>
    <col min="25" max="26" width="19.6640625" style="3" hidden="1" customWidth="1"/>
    <col min="27" max="27" width="7.5546875" style="7" customWidth="1"/>
    <col min="28" max="28" width="16.88671875" bestFit="1" customWidth="1"/>
    <col min="29" max="30" width="12.6640625" style="3" customWidth="1"/>
    <col min="31" max="31" width="8.5546875" style="1" customWidth="1"/>
    <col min="32" max="32" width="20.5546875" style="1" customWidth="1"/>
    <col min="33" max="33" width="6.6640625" style="3" customWidth="1"/>
    <col min="34" max="34" width="7.44140625" style="10" customWidth="1"/>
    <col min="35" max="35" width="9.44140625" style="3" customWidth="1"/>
    <col min="36" max="36" width="11.21875" style="3" customWidth="1"/>
    <col min="37" max="37" width="13.44140625" style="3" customWidth="1"/>
    <col min="38" max="38" width="8.88671875" style="7"/>
    <col min="39" max="39" width="22.33203125" style="3" hidden="1" customWidth="1"/>
    <col min="40" max="40" width="25.44140625" style="3" hidden="1" customWidth="1"/>
    <col min="41" max="41" width="21" style="3" hidden="1" customWidth="1"/>
    <col min="42" max="42" width="29.109375" style="3" hidden="1" customWidth="1"/>
    <col min="43" max="43" width="8.88671875" style="1" hidden="1" customWidth="1"/>
    <col min="44" max="44" width="11.88671875" style="31" bestFit="1" customWidth="1"/>
    <col min="45" max="46" width="9.6640625" style="3" customWidth="1"/>
    <col min="47" max="47" width="13.33203125" bestFit="1" customWidth="1"/>
    <col min="48" max="48" width="17.6640625" style="3" customWidth="1"/>
    <col min="49" max="49" width="11" bestFit="1" customWidth="1"/>
    <col min="50" max="50" width="17.6640625" style="3" customWidth="1"/>
    <col min="51" max="51" width="17.5546875" style="1" bestFit="1" customWidth="1"/>
  </cols>
  <sheetData>
    <row r="1" spans="1:51" s="33" customFormat="1">
      <c r="A1" s="32" t="s">
        <v>0</v>
      </c>
      <c r="B1" s="11" t="s">
        <v>1</v>
      </c>
      <c r="C1" s="11" t="s">
        <v>2</v>
      </c>
      <c r="D1" s="11" t="s">
        <v>3</v>
      </c>
      <c r="E1" s="11" t="s">
        <v>4</v>
      </c>
      <c r="F1" s="11" t="s">
        <v>5</v>
      </c>
      <c r="G1" s="11" t="s">
        <v>6</v>
      </c>
      <c r="H1" s="11" t="s">
        <v>7</v>
      </c>
      <c r="I1" s="11" t="s">
        <v>8</v>
      </c>
      <c r="J1" s="34" t="s">
        <v>9</v>
      </c>
      <c r="K1" s="11" t="s">
        <v>10</v>
      </c>
      <c r="L1" s="34" t="s">
        <v>11</v>
      </c>
      <c r="M1" s="11" t="s">
        <v>12</v>
      </c>
      <c r="N1" s="33" t="s">
        <v>13</v>
      </c>
      <c r="O1" s="33" t="s">
        <v>14</v>
      </c>
      <c r="P1" s="33" t="s">
        <v>15</v>
      </c>
      <c r="Q1" s="33" t="s">
        <v>16</v>
      </c>
      <c r="R1" s="33" t="s">
        <v>17</v>
      </c>
      <c r="S1" s="33" t="s">
        <v>18</v>
      </c>
      <c r="T1" s="33" t="s">
        <v>19</v>
      </c>
      <c r="U1" s="33" t="s">
        <v>20</v>
      </c>
      <c r="V1" s="33" t="s">
        <v>21</v>
      </c>
      <c r="W1" s="33" t="s">
        <v>22</v>
      </c>
      <c r="X1" s="33" t="s">
        <v>23</v>
      </c>
      <c r="Y1" s="33" t="s">
        <v>24</v>
      </c>
      <c r="Z1" s="33" t="s">
        <v>25</v>
      </c>
      <c r="AA1" s="34" t="s">
        <v>107</v>
      </c>
      <c r="AB1" s="11" t="s">
        <v>26</v>
      </c>
      <c r="AC1" s="11" t="s">
        <v>28</v>
      </c>
      <c r="AD1" s="11" t="s">
        <v>29</v>
      </c>
      <c r="AE1" s="11" t="s">
        <v>30</v>
      </c>
      <c r="AF1" s="11" t="s">
        <v>31</v>
      </c>
      <c r="AG1" s="11" t="s">
        <v>32</v>
      </c>
      <c r="AH1" s="35" t="s">
        <v>33</v>
      </c>
      <c r="AI1" s="33" t="s">
        <v>34</v>
      </c>
      <c r="AJ1" s="11" t="s">
        <v>35</v>
      </c>
      <c r="AK1" s="11" t="s">
        <v>36</v>
      </c>
      <c r="AL1" s="11" t="s">
        <v>39</v>
      </c>
      <c r="AM1" s="33" t="s">
        <v>40</v>
      </c>
      <c r="AN1" s="33" t="s">
        <v>41</v>
      </c>
      <c r="AO1" s="33" t="s">
        <v>42</v>
      </c>
      <c r="AP1" s="33" t="s">
        <v>43</v>
      </c>
      <c r="AQ1" s="33" t="s">
        <v>44</v>
      </c>
      <c r="AR1" s="11" t="s">
        <v>45</v>
      </c>
      <c r="AS1" s="36" t="s">
        <v>37</v>
      </c>
      <c r="AT1" s="36" t="s">
        <v>38</v>
      </c>
      <c r="AU1" s="17" t="s">
        <v>64</v>
      </c>
      <c r="AV1" s="37" t="s">
        <v>109</v>
      </c>
      <c r="AW1" s="37" t="s">
        <v>108</v>
      </c>
      <c r="AX1" s="37" t="s">
        <v>27</v>
      </c>
      <c r="AY1" s="37" t="s">
        <v>110</v>
      </c>
    </row>
    <row r="2" spans="1:51">
      <c r="A2" s="7">
        <v>5198368</v>
      </c>
      <c r="B2" s="7">
        <v>2402902</v>
      </c>
      <c r="C2" s="33" t="s">
        <v>46</v>
      </c>
      <c r="D2" s="1" t="s">
        <v>47</v>
      </c>
      <c r="E2" s="3">
        <v>1</v>
      </c>
      <c r="F2" s="1" t="s">
        <v>48</v>
      </c>
      <c r="G2" s="1">
        <v>1011312</v>
      </c>
      <c r="H2" s="2" t="s">
        <v>49</v>
      </c>
      <c r="I2" s="5" t="s">
        <v>50</v>
      </c>
      <c r="J2" s="6">
        <v>12</v>
      </c>
      <c r="K2" s="13" t="str">
        <f>IF(OR(UPPER(TRIM(J2))="AB",J2=901,J2="901"),"F",IF(J2&gt;=8,"P","F"))</f>
        <v>P</v>
      </c>
      <c r="L2" s="1">
        <v>17</v>
      </c>
      <c r="M2" s="13" t="str">
        <f>IF(OR(UPPER(TRIM(L2))="AB",L2=901,L2="901"),"F",IF(L2&gt;=8,"P","F"))</f>
        <v>P</v>
      </c>
      <c r="N2" s="13"/>
      <c r="O2" s="13"/>
      <c r="P2" s="13"/>
      <c r="Q2" s="13"/>
      <c r="R2" s="13"/>
      <c r="S2" s="13"/>
      <c r="T2" s="13"/>
      <c r="U2" s="13"/>
      <c r="V2" s="13"/>
      <c r="W2" s="13"/>
      <c r="X2" s="13"/>
      <c r="Y2" s="13"/>
      <c r="Z2" s="13"/>
      <c r="AB2" s="7" t="str">
        <f t="shared" ref="AB2:AB12" si="0">AV2 &amp; IF(AA2&lt;&gt;"", " @ " &amp; AA2, "")</f>
        <v>29</v>
      </c>
      <c r="AC2" s="13" t="str">
        <f t="shared" ref="AC2:AC12" si="1">IF(AX2&gt;=90,"O",
IF(AX2&gt;=80,"A+",
IF(AX2&gt;=70,"A",
IF(AX2&gt;=60,"B+",
IF(AX2&gt;=55,"B",
IF(AX2&gt;=50,"C",
IF(AX2&gt;=40,"D","F")))))))</f>
        <v>B</v>
      </c>
      <c r="AD2" s="13" t="str">
        <f>SUM(AV2:AV12) &amp; IF(SUM(AA2:AA12)&gt;0, " @ " &amp; SUM(AA2:AA12), "")</f>
        <v>232</v>
      </c>
      <c r="AE2" s="1">
        <v>550</v>
      </c>
      <c r="AF2" s="15">
        <f>AY2/AE2*100</f>
        <v>42.18181818181818</v>
      </c>
      <c r="AG2" s="13" t="str" cm="1">
        <f t="array" ref="AG2">IF(
  SUMPRODUCT(--(IFERROR(VALUE(J2:J12),9999)&lt;8))
  + SUMPRODUCT(--(IFERROR(VALUE(L2:L12),9999)&lt;12))
  + COUNTIF(J2:J12,"AB") + COUNTIF(L2:L12,"AB")
  + COUNTIF(J2:J12,901) + COUNTIF(L2:L12,901) &gt; 0,
  "ATKT",
  "PASS"
)</f>
        <v>ATKT</v>
      </c>
      <c r="AI2" s="1">
        <v>22</v>
      </c>
      <c r="AJ2" s="15">
        <f>SUM(AU2:AU12)</f>
        <v>14</v>
      </c>
      <c r="AK2" s="16">
        <f>SUM(AT2:AT12)</f>
        <v>76</v>
      </c>
      <c r="AL2" s="7">
        <f>IF(UPPER(TRIM(AG2))="ATKT",0,ROUND( (SUM(AT2:AT12) /22), 2))</f>
        <v>0</v>
      </c>
      <c r="AR2" s="7" t="str">
        <f t="shared" ref="AR2:AR12" si="2">IF(AL2&gt;=9,"O", IF(AL2&gt;=8,"A+", IF(AL2&gt;=7,"A", IF(AL2&gt;=6,"B+", IF(AL2&gt;=5.5,"B", IF(AL2&gt;=5,"C", IF(AL2&gt;=4,"D","F")))))))</f>
        <v>F</v>
      </c>
      <c r="AS2" s="8">
        <f t="shared" ref="AS2:AS12" si="3">IF(AX2&gt;=90,10,
IF(AX2&gt;=80,9,
IF(AX2&gt;=70,8,
IF(AX2&gt;=60,7,
IF(AX2&gt;=55,6,
IF(AX2&gt;=50,5,
IF(AX2&gt;=40,4,0)))))))</f>
        <v>6</v>
      </c>
      <c r="AT2" s="8">
        <f t="shared" ref="AT2:AT12" si="4">AS2*I2</f>
        <v>12</v>
      </c>
      <c r="AU2" s="13">
        <f>IF(OR(UPPER(TRIM(AC2))="AB", AC2=901, AC2="901"), 0, IF(ISNUMBER(MATCH(UPPER(TRIM(AC2)), {"A+","A","B+","B","C","D","P"}, 0)), 2, 0))</f>
        <v>2</v>
      </c>
      <c r="AV2" s="13">
        <f t="shared" ref="AV2:AV12" si="5">SUM(
IF(OR(UPPER(TRIM(J2))="AB",J2=901,J2="901"),0,IFERROR(VALUE(J2),0)),
IF(OR(UPPER(TRIM(L2))="AB",L2=901,L2="901"),0,IFERROR(VALUE(L2),0)),
IF(OR(UPPER(TRIM(N2))="AB",N2=901,N2="901"),0,IFERROR(VALUE(N2),0))
)</f>
        <v>29</v>
      </c>
      <c r="AW2">
        <f t="shared" ref="AW2:AW12" si="6">AA2+AV2</f>
        <v>29</v>
      </c>
      <c r="AX2" s="1">
        <f t="shared" ref="AX2:AX65" si="7">(AW2 / 50) * 100</f>
        <v>57.999999999999993</v>
      </c>
      <c r="AY2" s="13">
        <f>SUM(AW2:AW12)</f>
        <v>232</v>
      </c>
    </row>
    <row r="3" spans="1:51">
      <c r="A3" s="7">
        <v>5198368</v>
      </c>
      <c r="B3" s="7">
        <v>2402902</v>
      </c>
      <c r="C3" s="33" t="s">
        <v>46</v>
      </c>
      <c r="D3" s="1" t="s">
        <v>47</v>
      </c>
      <c r="E3" s="3">
        <v>1</v>
      </c>
      <c r="F3" s="1" t="s">
        <v>48</v>
      </c>
      <c r="G3" s="1">
        <v>1171312</v>
      </c>
      <c r="H3" s="2" t="s">
        <v>51</v>
      </c>
      <c r="I3" s="5" t="s">
        <v>50</v>
      </c>
      <c r="J3" s="1">
        <v>12</v>
      </c>
      <c r="K3" s="13" t="str">
        <f t="shared" ref="K3:K12" si="8">IF(OR(UPPER(TRIM(J3))="AB",J3=901,J3="901"),"F",IF(J3&gt;=8,"P","F"))</f>
        <v>P</v>
      </c>
      <c r="L3" s="1">
        <v>12</v>
      </c>
      <c r="M3" s="13" t="str">
        <f t="shared" ref="M3:M12" si="9">IF(OR(UPPER(TRIM(L3))="AB",L3=901,L3="901"),"F",IF(L3&gt;=8,"P","F"))</f>
        <v>P</v>
      </c>
      <c r="AB3" s="7" t="str">
        <f t="shared" si="0"/>
        <v>24</v>
      </c>
      <c r="AC3" s="13" t="str">
        <f t="shared" si="1"/>
        <v>D</v>
      </c>
      <c r="AD3" s="13" t="str">
        <f>AD2</f>
        <v>232</v>
      </c>
      <c r="AE3" s="1">
        <v>550</v>
      </c>
      <c r="AF3" s="15">
        <f t="shared" ref="AF3:AF12" si="10">AF2</f>
        <v>42.18181818181818</v>
      </c>
      <c r="AG3" s="13" t="str">
        <f t="shared" ref="AG3:AG12" si="11">AG2</f>
        <v>ATKT</v>
      </c>
      <c r="AI3" s="1">
        <v>22</v>
      </c>
      <c r="AJ3" s="15">
        <f>AJ2</f>
        <v>14</v>
      </c>
      <c r="AK3" s="16">
        <f>AK2</f>
        <v>76</v>
      </c>
      <c r="AL3" s="7">
        <f>AL2</f>
        <v>0</v>
      </c>
      <c r="AR3" s="7" t="str">
        <f t="shared" si="2"/>
        <v>F</v>
      </c>
      <c r="AS3" s="8">
        <f t="shared" si="3"/>
        <v>4</v>
      </c>
      <c r="AT3" s="8">
        <f t="shared" si="4"/>
        <v>8</v>
      </c>
      <c r="AU3" s="13">
        <f>IF(OR(UPPER(TRIM(AC3))="AB", AC3=901, AC3="901"), 0, IF(ISNUMBER(MATCH(UPPER(TRIM(AC3)), {"A+","A","B+","B","C","D","P"}, 0)), 2, 0))</f>
        <v>2</v>
      </c>
      <c r="AV3" s="13">
        <f t="shared" si="5"/>
        <v>24</v>
      </c>
      <c r="AW3">
        <f t="shared" si="6"/>
        <v>24</v>
      </c>
      <c r="AX3" s="1">
        <f t="shared" si="7"/>
        <v>48</v>
      </c>
      <c r="AY3" s="13">
        <f t="shared" ref="AY3:AY12" si="12">AY2</f>
        <v>232</v>
      </c>
    </row>
    <row r="4" spans="1:51">
      <c r="A4" s="7">
        <v>5198368</v>
      </c>
      <c r="B4" s="7">
        <v>2402902</v>
      </c>
      <c r="C4" s="33" t="s">
        <v>46</v>
      </c>
      <c r="D4" s="1" t="s">
        <v>47</v>
      </c>
      <c r="E4" s="3">
        <v>1</v>
      </c>
      <c r="F4" s="1" t="s">
        <v>48</v>
      </c>
      <c r="G4" s="1">
        <v>1461111</v>
      </c>
      <c r="H4" s="2" t="s">
        <v>52</v>
      </c>
      <c r="I4" s="5" t="s">
        <v>50</v>
      </c>
      <c r="J4" s="1">
        <v>9</v>
      </c>
      <c r="K4" s="13" t="str">
        <f t="shared" si="8"/>
        <v>P</v>
      </c>
      <c r="L4" s="1">
        <v>12</v>
      </c>
      <c r="M4" s="13" t="str">
        <f t="shared" si="9"/>
        <v>P</v>
      </c>
      <c r="AB4" s="7" t="str">
        <f t="shared" si="0"/>
        <v>21</v>
      </c>
      <c r="AC4" s="13" t="str">
        <f t="shared" si="1"/>
        <v>D</v>
      </c>
      <c r="AD4" s="13" t="str">
        <f t="shared" ref="AD4:AD12" si="13">AD3</f>
        <v>232</v>
      </c>
      <c r="AE4" s="1">
        <v>550</v>
      </c>
      <c r="AF4" s="15">
        <f t="shared" si="10"/>
        <v>42.18181818181818</v>
      </c>
      <c r="AG4" s="13" t="str">
        <f t="shared" si="11"/>
        <v>ATKT</v>
      </c>
      <c r="AI4" s="1">
        <v>22</v>
      </c>
      <c r="AJ4" s="15">
        <f t="shared" ref="AJ4:AJ12" si="14">AJ3</f>
        <v>14</v>
      </c>
      <c r="AK4" s="16">
        <f t="shared" ref="AK4:AK12" si="15">AK3</f>
        <v>76</v>
      </c>
      <c r="AL4" s="7">
        <f t="shared" ref="AL4:AL12" si="16">AL3</f>
        <v>0</v>
      </c>
      <c r="AR4" s="7" t="str">
        <f t="shared" si="2"/>
        <v>F</v>
      </c>
      <c r="AS4" s="8">
        <f t="shared" si="3"/>
        <v>4</v>
      </c>
      <c r="AT4" s="8">
        <f t="shared" si="4"/>
        <v>8</v>
      </c>
      <c r="AU4" s="13">
        <f>IF(OR(UPPER(TRIM(AC4))="AB", AC4=901, AC4="901"), 0, IF(ISNUMBER(MATCH(UPPER(TRIM(AC4)), {"A+","A","B+","B","C","D","P"}, 0)), 2, 0))</f>
        <v>2</v>
      </c>
      <c r="AV4" s="13">
        <f t="shared" si="5"/>
        <v>21</v>
      </c>
      <c r="AW4">
        <f t="shared" si="6"/>
        <v>21</v>
      </c>
      <c r="AX4" s="1">
        <f t="shared" si="7"/>
        <v>42</v>
      </c>
      <c r="AY4" s="13">
        <f t="shared" si="12"/>
        <v>232</v>
      </c>
    </row>
    <row r="5" spans="1:51">
      <c r="A5" s="7">
        <v>5198368</v>
      </c>
      <c r="B5" s="7">
        <v>2402902</v>
      </c>
      <c r="C5" s="33" t="s">
        <v>46</v>
      </c>
      <c r="D5" s="1" t="s">
        <v>47</v>
      </c>
      <c r="E5" s="3">
        <v>1</v>
      </c>
      <c r="F5" s="1" t="s">
        <v>48</v>
      </c>
      <c r="G5" s="1">
        <v>1461112</v>
      </c>
      <c r="H5" s="2" t="s">
        <v>53</v>
      </c>
      <c r="I5" s="5" t="s">
        <v>50</v>
      </c>
      <c r="J5" s="1">
        <v>9</v>
      </c>
      <c r="K5" s="13" t="str">
        <f t="shared" si="8"/>
        <v>P</v>
      </c>
      <c r="L5" s="1">
        <v>2</v>
      </c>
      <c r="M5" s="13" t="str">
        <f t="shared" si="9"/>
        <v>F</v>
      </c>
      <c r="AB5" s="7" t="str">
        <f t="shared" si="0"/>
        <v>11</v>
      </c>
      <c r="AC5" s="13" t="str">
        <f t="shared" si="1"/>
        <v>F</v>
      </c>
      <c r="AD5" s="13" t="str">
        <f t="shared" si="13"/>
        <v>232</v>
      </c>
      <c r="AE5" s="1">
        <v>550</v>
      </c>
      <c r="AF5" s="15">
        <f t="shared" si="10"/>
        <v>42.18181818181818</v>
      </c>
      <c r="AG5" s="13" t="str">
        <f t="shared" si="11"/>
        <v>ATKT</v>
      </c>
      <c r="AI5" s="1">
        <v>22</v>
      </c>
      <c r="AJ5" s="15">
        <f t="shared" si="14"/>
        <v>14</v>
      </c>
      <c r="AK5" s="16">
        <f t="shared" si="15"/>
        <v>76</v>
      </c>
      <c r="AL5" s="7">
        <f t="shared" si="16"/>
        <v>0</v>
      </c>
      <c r="AR5" s="7" t="str">
        <f t="shared" si="2"/>
        <v>F</v>
      </c>
      <c r="AS5" s="8">
        <f t="shared" si="3"/>
        <v>0</v>
      </c>
      <c r="AT5" s="8">
        <f t="shared" si="4"/>
        <v>0</v>
      </c>
      <c r="AU5" s="13">
        <f>IF(OR(UPPER(TRIM(AC5))="AB", AC5=901, AC5="901"), 0, IF(ISNUMBER(MATCH(UPPER(TRIM(AC5)), {"A+","A","B+","B","C","D","P"}, 0)), 2, 0))</f>
        <v>0</v>
      </c>
      <c r="AV5" s="13">
        <f t="shared" si="5"/>
        <v>11</v>
      </c>
      <c r="AW5">
        <f t="shared" si="6"/>
        <v>11</v>
      </c>
      <c r="AX5" s="1">
        <f t="shared" si="7"/>
        <v>22</v>
      </c>
      <c r="AY5" s="13">
        <f t="shared" si="12"/>
        <v>232</v>
      </c>
    </row>
    <row r="6" spans="1:51">
      <c r="A6" s="7">
        <v>5198368</v>
      </c>
      <c r="B6" s="7">
        <v>2402902</v>
      </c>
      <c r="C6" s="33" t="s">
        <v>46</v>
      </c>
      <c r="D6" s="1" t="s">
        <v>47</v>
      </c>
      <c r="E6" s="3">
        <v>1</v>
      </c>
      <c r="F6" s="1" t="s">
        <v>48</v>
      </c>
      <c r="G6" s="1">
        <v>1461113</v>
      </c>
      <c r="H6" s="2" t="s">
        <v>54</v>
      </c>
      <c r="I6" s="5" t="s">
        <v>50</v>
      </c>
      <c r="J6" s="1">
        <v>19</v>
      </c>
      <c r="K6" s="13" t="str">
        <f t="shared" si="8"/>
        <v>P</v>
      </c>
      <c r="L6" s="1">
        <v>17</v>
      </c>
      <c r="M6" s="13" t="str">
        <f t="shared" si="9"/>
        <v>P</v>
      </c>
      <c r="AB6" s="7" t="str">
        <f t="shared" si="0"/>
        <v>36</v>
      </c>
      <c r="AC6" s="13" t="str">
        <f t="shared" si="1"/>
        <v>A</v>
      </c>
      <c r="AD6" s="13" t="str">
        <f t="shared" si="13"/>
        <v>232</v>
      </c>
      <c r="AE6" s="1">
        <v>550</v>
      </c>
      <c r="AF6" s="15">
        <f t="shared" si="10"/>
        <v>42.18181818181818</v>
      </c>
      <c r="AG6" s="13" t="str">
        <f t="shared" si="11"/>
        <v>ATKT</v>
      </c>
      <c r="AI6" s="1">
        <v>22</v>
      </c>
      <c r="AJ6" s="15">
        <f t="shared" si="14"/>
        <v>14</v>
      </c>
      <c r="AK6" s="16">
        <f t="shared" si="15"/>
        <v>76</v>
      </c>
      <c r="AL6" s="7">
        <f t="shared" si="16"/>
        <v>0</v>
      </c>
      <c r="AR6" s="7" t="str">
        <f t="shared" si="2"/>
        <v>F</v>
      </c>
      <c r="AS6" s="8">
        <f t="shared" si="3"/>
        <v>8</v>
      </c>
      <c r="AT6" s="8">
        <f t="shared" si="4"/>
        <v>16</v>
      </c>
      <c r="AU6" s="13">
        <f>IF(OR(UPPER(TRIM(AC6))="AB", AC6=901, AC6="901"), 0, IF(ISNUMBER(MATCH(UPPER(TRIM(AC6)), {"A+","A","B+","B","C","D","P"}, 0)), 2, 0))</f>
        <v>2</v>
      </c>
      <c r="AV6" s="13">
        <f t="shared" si="5"/>
        <v>36</v>
      </c>
      <c r="AW6">
        <f t="shared" si="6"/>
        <v>36</v>
      </c>
      <c r="AX6" s="1">
        <f t="shared" si="7"/>
        <v>72</v>
      </c>
      <c r="AY6" s="13">
        <f t="shared" si="12"/>
        <v>232</v>
      </c>
    </row>
    <row r="7" spans="1:51">
      <c r="A7" s="7">
        <v>5198368</v>
      </c>
      <c r="B7" s="7">
        <v>2402902</v>
      </c>
      <c r="C7" s="33" t="s">
        <v>46</v>
      </c>
      <c r="D7" s="1" t="s">
        <v>47</v>
      </c>
      <c r="E7" s="3">
        <v>1</v>
      </c>
      <c r="F7" s="1" t="s">
        <v>48</v>
      </c>
      <c r="G7" s="1">
        <v>1461411</v>
      </c>
      <c r="H7" s="2" t="s">
        <v>55</v>
      </c>
      <c r="I7" s="5" t="s">
        <v>50</v>
      </c>
      <c r="J7" s="1">
        <v>9</v>
      </c>
      <c r="K7" s="13" t="str">
        <f t="shared" si="8"/>
        <v>P</v>
      </c>
      <c r="L7" s="1">
        <v>2</v>
      </c>
      <c r="M7" s="13" t="str">
        <f t="shared" si="9"/>
        <v>F</v>
      </c>
      <c r="AB7" s="7" t="str">
        <f t="shared" si="0"/>
        <v>11</v>
      </c>
      <c r="AC7" s="13" t="str">
        <f t="shared" si="1"/>
        <v>F</v>
      </c>
      <c r="AD7" s="13" t="str">
        <f t="shared" si="13"/>
        <v>232</v>
      </c>
      <c r="AE7" s="1">
        <v>550</v>
      </c>
      <c r="AF7" s="15">
        <f t="shared" si="10"/>
        <v>42.18181818181818</v>
      </c>
      <c r="AG7" s="13" t="str">
        <f t="shared" si="11"/>
        <v>ATKT</v>
      </c>
      <c r="AI7" s="1">
        <v>22</v>
      </c>
      <c r="AJ7" s="15">
        <f t="shared" si="14"/>
        <v>14</v>
      </c>
      <c r="AK7" s="16">
        <f t="shared" si="15"/>
        <v>76</v>
      </c>
      <c r="AL7" s="7">
        <f t="shared" si="16"/>
        <v>0</v>
      </c>
      <c r="AR7" s="7" t="str">
        <f t="shared" si="2"/>
        <v>F</v>
      </c>
      <c r="AS7" s="8">
        <f t="shared" si="3"/>
        <v>0</v>
      </c>
      <c r="AT7" s="8">
        <f t="shared" si="4"/>
        <v>0</v>
      </c>
      <c r="AU7" s="13">
        <f>IF(OR(UPPER(TRIM(AC7))="AB", AC7=901, AC7="901"), 0, IF(ISNUMBER(MATCH(UPPER(TRIM(AC7)), {"A+","A","B+","B","C","D","P"}, 0)), 2, 0))</f>
        <v>0</v>
      </c>
      <c r="AV7" s="13">
        <f t="shared" si="5"/>
        <v>11</v>
      </c>
      <c r="AW7">
        <f t="shared" si="6"/>
        <v>11</v>
      </c>
      <c r="AX7" s="1">
        <f t="shared" si="7"/>
        <v>22</v>
      </c>
      <c r="AY7" s="13">
        <f t="shared" si="12"/>
        <v>232</v>
      </c>
    </row>
    <row r="8" spans="1:51">
      <c r="A8" s="7">
        <v>5198368</v>
      </c>
      <c r="B8" s="7">
        <v>2402902</v>
      </c>
      <c r="C8" s="33" t="s">
        <v>46</v>
      </c>
      <c r="D8" s="1" t="s">
        <v>47</v>
      </c>
      <c r="E8" s="3">
        <v>1</v>
      </c>
      <c r="F8" s="1" t="s">
        <v>48</v>
      </c>
      <c r="G8" s="1">
        <v>1461412</v>
      </c>
      <c r="H8" s="2" t="s">
        <v>56</v>
      </c>
      <c r="I8" s="5" t="s">
        <v>50</v>
      </c>
      <c r="J8" s="1">
        <v>9</v>
      </c>
      <c r="K8" s="13" t="str">
        <f t="shared" si="8"/>
        <v>P</v>
      </c>
      <c r="L8" s="1">
        <v>4</v>
      </c>
      <c r="M8" s="13" t="str">
        <f t="shared" si="9"/>
        <v>F</v>
      </c>
      <c r="AB8" s="7" t="str">
        <f t="shared" si="0"/>
        <v>13</v>
      </c>
      <c r="AC8" s="13" t="str">
        <f t="shared" si="1"/>
        <v>F</v>
      </c>
      <c r="AD8" s="13" t="str">
        <f t="shared" si="13"/>
        <v>232</v>
      </c>
      <c r="AE8" s="1">
        <v>550</v>
      </c>
      <c r="AF8" s="15">
        <f t="shared" si="10"/>
        <v>42.18181818181818</v>
      </c>
      <c r="AG8" s="13" t="str">
        <f t="shared" si="11"/>
        <v>ATKT</v>
      </c>
      <c r="AI8" s="1">
        <v>22</v>
      </c>
      <c r="AJ8" s="15">
        <f t="shared" si="14"/>
        <v>14</v>
      </c>
      <c r="AK8" s="16">
        <f t="shared" si="15"/>
        <v>76</v>
      </c>
      <c r="AL8" s="7">
        <f t="shared" si="16"/>
        <v>0</v>
      </c>
      <c r="AR8" s="7" t="str">
        <f t="shared" si="2"/>
        <v>F</v>
      </c>
      <c r="AS8" s="8">
        <f t="shared" si="3"/>
        <v>0</v>
      </c>
      <c r="AT8" s="8">
        <f t="shared" si="4"/>
        <v>0</v>
      </c>
      <c r="AU8" s="13">
        <f>IF(OR(UPPER(TRIM(AC8))="AB", AC8=901, AC8="901"), 0, IF(ISNUMBER(MATCH(UPPER(TRIM(AC8)), {"A+","A","B+","B","C","D","P"}, 0)), 2, 0))</f>
        <v>0</v>
      </c>
      <c r="AV8" s="13">
        <f t="shared" si="5"/>
        <v>13</v>
      </c>
      <c r="AW8">
        <f t="shared" si="6"/>
        <v>13</v>
      </c>
      <c r="AX8" s="1">
        <f t="shared" si="7"/>
        <v>26</v>
      </c>
      <c r="AY8" s="13">
        <f t="shared" si="12"/>
        <v>232</v>
      </c>
    </row>
    <row r="9" spans="1:51">
      <c r="A9" s="7">
        <v>5198368</v>
      </c>
      <c r="B9" s="7">
        <v>2402902</v>
      </c>
      <c r="C9" s="33" t="s">
        <v>46</v>
      </c>
      <c r="D9" s="1" t="s">
        <v>47</v>
      </c>
      <c r="E9" s="3">
        <v>1</v>
      </c>
      <c r="F9" s="1" t="s">
        <v>48</v>
      </c>
      <c r="G9" s="1">
        <v>2511515</v>
      </c>
      <c r="H9" s="2" t="s">
        <v>57</v>
      </c>
      <c r="I9" s="5" t="s">
        <v>50</v>
      </c>
      <c r="J9" s="1">
        <v>9</v>
      </c>
      <c r="K9" s="13" t="str">
        <f t="shared" si="8"/>
        <v>P</v>
      </c>
      <c r="L9" s="1">
        <v>12</v>
      </c>
      <c r="M9" s="13" t="str">
        <f t="shared" si="9"/>
        <v>P</v>
      </c>
      <c r="AB9" s="7" t="str">
        <f t="shared" si="0"/>
        <v>21</v>
      </c>
      <c r="AC9" s="13" t="str">
        <f t="shared" si="1"/>
        <v>D</v>
      </c>
      <c r="AD9" s="13" t="str">
        <f t="shared" si="13"/>
        <v>232</v>
      </c>
      <c r="AE9" s="1">
        <v>550</v>
      </c>
      <c r="AF9" s="15">
        <f t="shared" si="10"/>
        <v>42.18181818181818</v>
      </c>
      <c r="AG9" s="13" t="str">
        <f t="shared" si="11"/>
        <v>ATKT</v>
      </c>
      <c r="AI9" s="1">
        <v>22</v>
      </c>
      <c r="AJ9" s="15">
        <f t="shared" si="14"/>
        <v>14</v>
      </c>
      <c r="AK9" s="16">
        <f t="shared" si="15"/>
        <v>76</v>
      </c>
      <c r="AL9" s="7">
        <f t="shared" si="16"/>
        <v>0</v>
      </c>
      <c r="AR9" s="7" t="str">
        <f t="shared" si="2"/>
        <v>F</v>
      </c>
      <c r="AS9" s="8">
        <f t="shared" si="3"/>
        <v>4</v>
      </c>
      <c r="AT9" s="8">
        <f t="shared" si="4"/>
        <v>8</v>
      </c>
      <c r="AU9" s="13">
        <f>IF(OR(UPPER(TRIM(AC9))="AB", AC9=901, AC9="901"), 0, IF(ISNUMBER(MATCH(UPPER(TRIM(AC9)), {"A+","A","B+","B","C","D","P"}, 0)), 2, 0))</f>
        <v>2</v>
      </c>
      <c r="AV9" s="13">
        <f t="shared" si="5"/>
        <v>21</v>
      </c>
      <c r="AW9">
        <f t="shared" si="6"/>
        <v>21</v>
      </c>
      <c r="AX9" s="1">
        <f t="shared" si="7"/>
        <v>42</v>
      </c>
      <c r="AY9" s="13">
        <f t="shared" si="12"/>
        <v>232</v>
      </c>
    </row>
    <row r="10" spans="1:51">
      <c r="A10" s="7">
        <v>5198368</v>
      </c>
      <c r="B10" s="7">
        <v>2402902</v>
      </c>
      <c r="C10" s="33" t="s">
        <v>46</v>
      </c>
      <c r="D10" s="1" t="s">
        <v>47</v>
      </c>
      <c r="E10" s="3">
        <v>1</v>
      </c>
      <c r="F10" s="1" t="s">
        <v>48</v>
      </c>
      <c r="G10" s="1">
        <v>2521615</v>
      </c>
      <c r="H10" s="4" t="s">
        <v>58</v>
      </c>
      <c r="I10" s="5" t="s">
        <v>50</v>
      </c>
      <c r="J10" s="1">
        <v>18</v>
      </c>
      <c r="K10" s="13" t="str">
        <f t="shared" si="8"/>
        <v>P</v>
      </c>
      <c r="L10" s="1">
        <v>12</v>
      </c>
      <c r="M10" s="13" t="str">
        <f t="shared" si="9"/>
        <v>P</v>
      </c>
      <c r="AB10" s="7" t="str">
        <f t="shared" si="0"/>
        <v>30</v>
      </c>
      <c r="AC10" s="13" t="str">
        <f t="shared" si="1"/>
        <v>B+</v>
      </c>
      <c r="AD10" s="13" t="str">
        <f t="shared" si="13"/>
        <v>232</v>
      </c>
      <c r="AE10" s="1">
        <v>550</v>
      </c>
      <c r="AF10" s="15">
        <f t="shared" si="10"/>
        <v>42.18181818181818</v>
      </c>
      <c r="AG10" s="13" t="str">
        <f t="shared" si="11"/>
        <v>ATKT</v>
      </c>
      <c r="AI10" s="1">
        <v>22</v>
      </c>
      <c r="AJ10" s="15">
        <f t="shared" si="14"/>
        <v>14</v>
      </c>
      <c r="AK10" s="16">
        <f t="shared" si="15"/>
        <v>76</v>
      </c>
      <c r="AL10" s="7">
        <f t="shared" si="16"/>
        <v>0</v>
      </c>
      <c r="AR10" s="7" t="str">
        <f t="shared" si="2"/>
        <v>F</v>
      </c>
      <c r="AS10" s="8">
        <f t="shared" si="3"/>
        <v>7</v>
      </c>
      <c r="AT10" s="8">
        <f t="shared" si="4"/>
        <v>14</v>
      </c>
      <c r="AU10" s="13">
        <f>IF(OR(UPPER(TRIM(AC10))="AB", AC10=901, AC10="901"), 0, IF(ISNUMBER(MATCH(UPPER(TRIM(AC10)), {"A+","A","B+","B","C","D","P"}, 0)), 2, 0))</f>
        <v>2</v>
      </c>
      <c r="AV10" s="13">
        <f t="shared" si="5"/>
        <v>30</v>
      </c>
      <c r="AW10">
        <f t="shared" si="6"/>
        <v>30</v>
      </c>
      <c r="AX10" s="1">
        <f t="shared" si="7"/>
        <v>60</v>
      </c>
      <c r="AY10" s="13">
        <f t="shared" si="12"/>
        <v>232</v>
      </c>
    </row>
    <row r="11" spans="1:51">
      <c r="A11" s="7">
        <v>5198368</v>
      </c>
      <c r="B11" s="7">
        <v>2402902</v>
      </c>
      <c r="C11" s="33" t="s">
        <v>46</v>
      </c>
      <c r="D11" s="1" t="s">
        <v>47</v>
      </c>
      <c r="E11" s="3">
        <v>1</v>
      </c>
      <c r="F11" s="1" t="s">
        <v>48</v>
      </c>
      <c r="G11" s="1">
        <v>2531511</v>
      </c>
      <c r="H11" s="2" t="s">
        <v>59</v>
      </c>
      <c r="I11" s="5" t="s">
        <v>50</v>
      </c>
      <c r="J11" s="1">
        <v>14</v>
      </c>
      <c r="K11" s="13" t="str">
        <f t="shared" si="8"/>
        <v>P</v>
      </c>
      <c r="L11" s="1">
        <v>12</v>
      </c>
      <c r="M11" s="13" t="str">
        <f t="shared" si="9"/>
        <v>P</v>
      </c>
      <c r="AB11" s="7" t="str">
        <f t="shared" si="0"/>
        <v>26</v>
      </c>
      <c r="AC11" s="13" t="str">
        <f t="shared" si="1"/>
        <v>C</v>
      </c>
      <c r="AD11" s="13" t="str">
        <f t="shared" si="13"/>
        <v>232</v>
      </c>
      <c r="AE11" s="1">
        <v>550</v>
      </c>
      <c r="AF11" s="15">
        <f t="shared" si="10"/>
        <v>42.18181818181818</v>
      </c>
      <c r="AG11" s="13" t="str">
        <f t="shared" si="11"/>
        <v>ATKT</v>
      </c>
      <c r="AI11" s="1">
        <v>22</v>
      </c>
      <c r="AJ11" s="15">
        <f t="shared" si="14"/>
        <v>14</v>
      </c>
      <c r="AK11" s="16">
        <f t="shared" si="15"/>
        <v>76</v>
      </c>
      <c r="AL11" s="7">
        <f t="shared" si="16"/>
        <v>0</v>
      </c>
      <c r="AR11" s="7" t="str">
        <f t="shared" si="2"/>
        <v>F</v>
      </c>
      <c r="AS11" s="8">
        <f t="shared" si="3"/>
        <v>5</v>
      </c>
      <c r="AT11" s="8">
        <f t="shared" si="4"/>
        <v>10</v>
      </c>
      <c r="AU11" s="13">
        <f>IF(OR(UPPER(TRIM(AC11))="AB", AC11=901, AC11="901"), 0, IF(ISNUMBER(MATCH(UPPER(TRIM(AC11)), {"A+","A","B+","B","C","D","P"}, 0)), 2, 0))</f>
        <v>2</v>
      </c>
      <c r="AV11" s="13">
        <f t="shared" si="5"/>
        <v>26</v>
      </c>
      <c r="AW11">
        <f t="shared" si="6"/>
        <v>26</v>
      </c>
      <c r="AX11" s="1">
        <f t="shared" si="7"/>
        <v>52</v>
      </c>
      <c r="AY11" s="13">
        <f t="shared" si="12"/>
        <v>232</v>
      </c>
    </row>
    <row r="12" spans="1:51">
      <c r="A12" s="7">
        <v>5198368</v>
      </c>
      <c r="B12" s="7">
        <v>2402902</v>
      </c>
      <c r="C12" s="33" t="s">
        <v>46</v>
      </c>
      <c r="D12" s="1" t="s">
        <v>47</v>
      </c>
      <c r="E12" s="3">
        <v>1</v>
      </c>
      <c r="F12" s="1" t="s">
        <v>48</v>
      </c>
      <c r="G12" s="1">
        <v>2541515</v>
      </c>
      <c r="H12" s="2" t="s">
        <v>60</v>
      </c>
      <c r="I12" s="5" t="s">
        <v>50</v>
      </c>
      <c r="J12" s="1">
        <v>10</v>
      </c>
      <c r="K12" s="13" t="str">
        <f t="shared" si="8"/>
        <v>P</v>
      </c>
      <c r="L12" s="6">
        <v>0</v>
      </c>
      <c r="M12" s="13" t="str">
        <f t="shared" si="9"/>
        <v>F</v>
      </c>
      <c r="AB12" s="7" t="str">
        <f t="shared" si="0"/>
        <v>10</v>
      </c>
      <c r="AC12" s="13" t="str">
        <f t="shared" si="1"/>
        <v>F</v>
      </c>
      <c r="AD12" s="13" t="str">
        <f t="shared" si="13"/>
        <v>232</v>
      </c>
      <c r="AE12" s="1">
        <v>550</v>
      </c>
      <c r="AF12" s="15">
        <f t="shared" si="10"/>
        <v>42.18181818181818</v>
      </c>
      <c r="AG12" s="13" t="str">
        <f t="shared" si="11"/>
        <v>ATKT</v>
      </c>
      <c r="AI12" s="1">
        <v>22</v>
      </c>
      <c r="AJ12" s="15">
        <f t="shared" si="14"/>
        <v>14</v>
      </c>
      <c r="AK12" s="16">
        <f t="shared" si="15"/>
        <v>76</v>
      </c>
      <c r="AL12" s="7">
        <f t="shared" si="16"/>
        <v>0</v>
      </c>
      <c r="AR12" s="7" t="str">
        <f t="shared" si="2"/>
        <v>F</v>
      </c>
      <c r="AS12" s="8">
        <f t="shared" si="3"/>
        <v>0</v>
      </c>
      <c r="AT12" s="8">
        <f t="shared" si="4"/>
        <v>0</v>
      </c>
      <c r="AU12" s="13">
        <f>IF(OR(UPPER(TRIM(AC12))="AB", AC12=901, AC12="901"), 0, IF(ISNUMBER(MATCH(UPPER(TRIM(AC12)), {"A+","A","B+","B","C","D","P"}, 0)), 2, 0))</f>
        <v>0</v>
      </c>
      <c r="AV12" s="13">
        <f t="shared" si="5"/>
        <v>10</v>
      </c>
      <c r="AW12">
        <f t="shared" si="6"/>
        <v>10</v>
      </c>
      <c r="AX12" s="1">
        <f t="shared" si="7"/>
        <v>20</v>
      </c>
      <c r="AY12" s="13">
        <f t="shared" si="12"/>
        <v>232</v>
      </c>
    </row>
    <row r="14" spans="1:51">
      <c r="A14" s="7">
        <v>5264208</v>
      </c>
      <c r="B14" s="7"/>
      <c r="C14" s="33" t="s">
        <v>65</v>
      </c>
      <c r="D14" s="1" t="s">
        <v>47</v>
      </c>
      <c r="E14" s="3">
        <v>1</v>
      </c>
      <c r="F14" s="1" t="s">
        <v>48</v>
      </c>
      <c r="G14" s="1">
        <v>1011312</v>
      </c>
      <c r="H14" s="2" t="s">
        <v>49</v>
      </c>
      <c r="I14" s="5" t="s">
        <v>50</v>
      </c>
      <c r="J14" s="6">
        <v>901</v>
      </c>
      <c r="K14" s="13" t="str">
        <f>IF(OR(UPPER(TRIM(J14))="AB",J14=901,J14="901"),"F",IF(J14&gt;=8,"P","F"))</f>
        <v>F</v>
      </c>
      <c r="L14" s="1">
        <v>901</v>
      </c>
      <c r="M14" s="13" t="str">
        <f>IF(OR(UPPER(TRIM(L14))="AB",L14=901,L14="901"),"F",IF(L14&gt;=8,"P","F"))</f>
        <v>F</v>
      </c>
      <c r="N14" s="13"/>
      <c r="O14" s="13"/>
      <c r="P14" s="13"/>
      <c r="Q14" s="13"/>
      <c r="R14" s="13"/>
      <c r="S14" s="13"/>
      <c r="T14" s="13"/>
      <c r="U14" s="13"/>
      <c r="V14" s="13"/>
      <c r="W14" s="13"/>
      <c r="X14" s="13"/>
      <c r="Y14" s="13"/>
      <c r="Z14" s="13"/>
      <c r="AB14" s="7" t="str">
        <f t="shared" ref="AB14:AB24" si="17">AV14 &amp; IF(AA14&lt;&gt;"", " @ " &amp; AA14, "")</f>
        <v>0</v>
      </c>
      <c r="AC14" s="13" t="str">
        <f t="shared" ref="AC14:AC24" si="18">IF(AX14&gt;=90,"O",
IF(AX14&gt;=80,"A+",
IF(AX14&gt;=70,"A",
IF(AX14&gt;=60,"B+",
IF(AX14&gt;=55,"B",
IF(AX14&gt;=50,"C",
IF(AX14&gt;=40,"D","F")))))))</f>
        <v>F</v>
      </c>
      <c r="AD14" s="13" t="str">
        <f>SUM(AV14:AV24) &amp; IF(SUM(AA14:AA24)&gt;0, " @ " &amp; SUM(AA14:AA24), "")</f>
        <v>199</v>
      </c>
      <c r="AE14" s="1">
        <v>550</v>
      </c>
      <c r="AF14" s="15">
        <f>AY14/AE14*100</f>
        <v>36.18181818181818</v>
      </c>
      <c r="AG14" s="13" t="str" cm="1">
        <f t="array" ref="AG14">IF(
  SUMPRODUCT(--(IFERROR(VALUE(J14:J24),9999)&lt;8))
  + SUMPRODUCT(--(IFERROR(VALUE(L14:L24),9999)&lt;12))
  + COUNTIF(J14:J24,"AB") + COUNTIF(L14:L24,"AB")
  + COUNTIF(J14:J24,901) + COUNTIF(L14:L24,901) &gt; 0,
  "ATKT",
  "PASS"
)</f>
        <v>ATKT</v>
      </c>
      <c r="AI14" s="1">
        <v>22</v>
      </c>
      <c r="AJ14" s="15">
        <f>SUM(AU14:AU24)</f>
        <v>16</v>
      </c>
      <c r="AK14" s="16">
        <f>SUM(AT14:AT24)</f>
        <v>68</v>
      </c>
      <c r="AL14" s="7">
        <f>IF(UPPER(TRIM(AG14))="ATKT",0,ROUND( (SUM(AT14:AT24) /22), 2))</f>
        <v>0</v>
      </c>
      <c r="AR14" s="7" t="str">
        <f t="shared" ref="AR14:AR24" si="19">IF(AL14&gt;=9,"O", IF(AL14&gt;=8,"A+", IF(AL14&gt;=7,"A", IF(AL14&gt;=6,"B+", IF(AL14&gt;=5.5,"B", IF(AL14&gt;=5,"C", IF(AL14&gt;=4,"D","F")))))))</f>
        <v>F</v>
      </c>
      <c r="AS14" s="8">
        <f t="shared" ref="AS14:AS24" si="20">IF(AX14&gt;=90,10,
IF(AX14&gt;=80,9,
IF(AX14&gt;=70,8,
IF(AX14&gt;=60,7,
IF(AX14&gt;=55,6,
IF(AX14&gt;=50,5,
IF(AX14&gt;=40,4,0)))))))</f>
        <v>0</v>
      </c>
      <c r="AT14" s="8">
        <f t="shared" ref="AT14:AT24" si="21">AS14*I14</f>
        <v>0</v>
      </c>
      <c r="AU14" s="13">
        <f>IF(OR(UPPER(TRIM(AC14))="AB", AC14=901, AC14="901"), 0, IF(ISNUMBER(MATCH(UPPER(TRIM(AC14)), {"A+","A","B+","B","C","D","P"}, 0)), 2, 0))</f>
        <v>0</v>
      </c>
      <c r="AV14" s="13">
        <f t="shared" ref="AV14:AV24" si="22">SUM(
IF(OR(UPPER(TRIM(J14))="AB",J14=901,J14="901"),0,IFERROR(VALUE(J14),0)),
IF(OR(UPPER(TRIM(L14))="AB",L14=901,L14="901"),0,IFERROR(VALUE(L14),0)),
IF(OR(UPPER(TRIM(N14))="AB",N14=901,N14="901"),0,IFERROR(VALUE(N14),0))
)</f>
        <v>0</v>
      </c>
      <c r="AW14">
        <f t="shared" ref="AW14:AW24" si="23">AA14+AV14</f>
        <v>0</v>
      </c>
      <c r="AX14" s="1">
        <f t="shared" si="7"/>
        <v>0</v>
      </c>
      <c r="AY14" s="13">
        <f>SUM(AW14:AW24)</f>
        <v>199</v>
      </c>
    </row>
    <row r="15" spans="1:51">
      <c r="A15" s="7">
        <v>5264208</v>
      </c>
      <c r="B15" s="7"/>
      <c r="C15" s="33" t="s">
        <v>65</v>
      </c>
      <c r="D15" s="1" t="s">
        <v>47</v>
      </c>
      <c r="E15" s="3">
        <v>1</v>
      </c>
      <c r="F15" s="1" t="s">
        <v>48</v>
      </c>
      <c r="G15" s="1">
        <v>1171312</v>
      </c>
      <c r="H15" s="2" t="s">
        <v>51</v>
      </c>
      <c r="I15" s="5" t="s">
        <v>50</v>
      </c>
      <c r="J15" s="1">
        <v>12</v>
      </c>
      <c r="K15" s="13" t="str">
        <f t="shared" ref="K15:K24" si="24">IF(OR(UPPER(TRIM(J15))="AB",J15=901,J15="901"),"F",IF(J15&gt;=8,"P","F"))</f>
        <v>P</v>
      </c>
      <c r="L15" s="1">
        <v>0</v>
      </c>
      <c r="M15" s="13" t="str">
        <f t="shared" ref="M15:M24" si="25">IF(OR(UPPER(TRIM(L15))="AB",L15=901,L15="901"),"F",IF(L15&gt;=8,"P","F"))</f>
        <v>F</v>
      </c>
      <c r="AB15" s="7" t="str">
        <f t="shared" si="17"/>
        <v>12</v>
      </c>
      <c r="AC15" s="13" t="str">
        <f t="shared" si="18"/>
        <v>F</v>
      </c>
      <c r="AD15" s="13" t="str">
        <f>AD14</f>
        <v>199</v>
      </c>
      <c r="AE15" s="1">
        <v>550</v>
      </c>
      <c r="AF15" s="15">
        <f t="shared" ref="AF15:AG24" si="26">AF14</f>
        <v>36.18181818181818</v>
      </c>
      <c r="AG15" s="13" t="str">
        <f t="shared" si="26"/>
        <v>ATKT</v>
      </c>
      <c r="AI15" s="1">
        <v>22</v>
      </c>
      <c r="AJ15" s="15">
        <f>AJ14</f>
        <v>16</v>
      </c>
      <c r="AK15" s="16">
        <f>AK14</f>
        <v>68</v>
      </c>
      <c r="AL15" s="7">
        <f>AL14</f>
        <v>0</v>
      </c>
      <c r="AR15" s="7" t="str">
        <f t="shared" si="19"/>
        <v>F</v>
      </c>
      <c r="AS15" s="8">
        <f t="shared" si="20"/>
        <v>0</v>
      </c>
      <c r="AT15" s="8">
        <f t="shared" si="21"/>
        <v>0</v>
      </c>
      <c r="AU15" s="13">
        <f>IF(OR(UPPER(TRIM(AC15))="AB", AC15=901, AC15="901"), 0, IF(ISNUMBER(MATCH(UPPER(TRIM(AC15)), {"A+","A","B+","B","C","D","P"}, 0)), 2, 0))</f>
        <v>0</v>
      </c>
      <c r="AV15" s="13">
        <f t="shared" si="22"/>
        <v>12</v>
      </c>
      <c r="AW15">
        <f t="shared" si="23"/>
        <v>12</v>
      </c>
      <c r="AX15" s="1">
        <f t="shared" si="7"/>
        <v>24</v>
      </c>
      <c r="AY15" s="13">
        <f t="shared" ref="AY15:AY24" si="27">AY14</f>
        <v>199</v>
      </c>
    </row>
    <row r="16" spans="1:51">
      <c r="A16" s="7">
        <v>5264208</v>
      </c>
      <c r="B16" s="7"/>
      <c r="C16" s="33" t="s">
        <v>65</v>
      </c>
      <c r="D16" s="1" t="s">
        <v>47</v>
      </c>
      <c r="E16" s="3">
        <v>1</v>
      </c>
      <c r="F16" s="1" t="s">
        <v>48</v>
      </c>
      <c r="G16" s="1">
        <v>1461111</v>
      </c>
      <c r="H16" s="2" t="s">
        <v>52</v>
      </c>
      <c r="I16" s="5" t="s">
        <v>50</v>
      </c>
      <c r="J16" s="1">
        <v>9</v>
      </c>
      <c r="K16" s="13" t="str">
        <f t="shared" si="24"/>
        <v>P</v>
      </c>
      <c r="L16" s="1">
        <v>12</v>
      </c>
      <c r="M16" s="13" t="str">
        <f t="shared" si="25"/>
        <v>P</v>
      </c>
      <c r="AB16" s="7" t="str">
        <f t="shared" si="17"/>
        <v>21</v>
      </c>
      <c r="AC16" s="13" t="str">
        <f t="shared" si="18"/>
        <v>D</v>
      </c>
      <c r="AD16" s="13" t="str">
        <f t="shared" ref="AD16:AD24" si="28">AD15</f>
        <v>199</v>
      </c>
      <c r="AE16" s="1">
        <v>550</v>
      </c>
      <c r="AF16" s="15">
        <f t="shared" si="26"/>
        <v>36.18181818181818</v>
      </c>
      <c r="AG16" s="13" t="str">
        <f t="shared" si="26"/>
        <v>ATKT</v>
      </c>
      <c r="AI16" s="1">
        <v>22</v>
      </c>
      <c r="AJ16" s="15">
        <f t="shared" ref="AJ16:AL24" si="29">AJ15</f>
        <v>16</v>
      </c>
      <c r="AK16" s="16">
        <f t="shared" si="29"/>
        <v>68</v>
      </c>
      <c r="AL16" s="7">
        <f t="shared" si="29"/>
        <v>0</v>
      </c>
      <c r="AR16" s="7" t="str">
        <f t="shared" si="19"/>
        <v>F</v>
      </c>
      <c r="AS16" s="8">
        <f t="shared" si="20"/>
        <v>4</v>
      </c>
      <c r="AT16" s="8">
        <f t="shared" si="21"/>
        <v>8</v>
      </c>
      <c r="AU16" s="13">
        <f>IF(OR(UPPER(TRIM(AC16))="AB", AC16=901, AC16="901"), 0, IF(ISNUMBER(MATCH(UPPER(TRIM(AC16)), {"A+","A","B+","B","C","D","P"}, 0)), 2, 0))</f>
        <v>2</v>
      </c>
      <c r="AV16" s="13">
        <f t="shared" si="22"/>
        <v>21</v>
      </c>
      <c r="AW16">
        <f t="shared" si="23"/>
        <v>21</v>
      </c>
      <c r="AX16" s="1">
        <f t="shared" si="7"/>
        <v>42</v>
      </c>
      <c r="AY16" s="13">
        <f t="shared" si="27"/>
        <v>199</v>
      </c>
    </row>
    <row r="17" spans="1:51">
      <c r="A17" s="7">
        <v>5264208</v>
      </c>
      <c r="B17" s="7"/>
      <c r="C17" s="33" t="s">
        <v>65</v>
      </c>
      <c r="D17" s="1" t="s">
        <v>47</v>
      </c>
      <c r="E17" s="3">
        <v>1</v>
      </c>
      <c r="F17" s="1" t="s">
        <v>48</v>
      </c>
      <c r="G17" s="1">
        <v>1461112</v>
      </c>
      <c r="H17" s="2" t="s">
        <v>53</v>
      </c>
      <c r="I17" s="5" t="s">
        <v>50</v>
      </c>
      <c r="J17" s="1">
        <v>9</v>
      </c>
      <c r="K17" s="13" t="str">
        <f t="shared" si="24"/>
        <v>P</v>
      </c>
      <c r="L17" s="1">
        <v>12</v>
      </c>
      <c r="M17" s="13" t="str">
        <f t="shared" si="25"/>
        <v>P</v>
      </c>
      <c r="AB17" s="7" t="str">
        <f t="shared" si="17"/>
        <v>21</v>
      </c>
      <c r="AC17" s="13" t="str">
        <f t="shared" si="18"/>
        <v>D</v>
      </c>
      <c r="AD17" s="13" t="str">
        <f t="shared" si="28"/>
        <v>199</v>
      </c>
      <c r="AE17" s="1">
        <v>550</v>
      </c>
      <c r="AF17" s="15">
        <f t="shared" si="26"/>
        <v>36.18181818181818</v>
      </c>
      <c r="AG17" s="13" t="str">
        <f t="shared" si="26"/>
        <v>ATKT</v>
      </c>
      <c r="AI17" s="1">
        <v>22</v>
      </c>
      <c r="AJ17" s="15">
        <f t="shared" si="29"/>
        <v>16</v>
      </c>
      <c r="AK17" s="16">
        <f t="shared" si="29"/>
        <v>68</v>
      </c>
      <c r="AL17" s="7">
        <f t="shared" si="29"/>
        <v>0</v>
      </c>
      <c r="AR17" s="7" t="str">
        <f t="shared" si="19"/>
        <v>F</v>
      </c>
      <c r="AS17" s="8">
        <f t="shared" si="20"/>
        <v>4</v>
      </c>
      <c r="AT17" s="8">
        <f t="shared" si="21"/>
        <v>8</v>
      </c>
      <c r="AU17" s="13">
        <f>IF(OR(UPPER(TRIM(AC17))="AB", AC17=901, AC17="901"), 0, IF(ISNUMBER(MATCH(UPPER(TRIM(AC17)), {"A+","A","B+","B","C","D","P"}, 0)), 2, 0))</f>
        <v>2</v>
      </c>
      <c r="AV17" s="13">
        <f t="shared" si="22"/>
        <v>21</v>
      </c>
      <c r="AW17">
        <f t="shared" si="23"/>
        <v>21</v>
      </c>
      <c r="AX17" s="1">
        <f t="shared" si="7"/>
        <v>42</v>
      </c>
      <c r="AY17" s="13">
        <f t="shared" si="27"/>
        <v>199</v>
      </c>
    </row>
    <row r="18" spans="1:51">
      <c r="A18" s="7">
        <v>5264208</v>
      </c>
      <c r="B18" s="7"/>
      <c r="C18" s="33" t="s">
        <v>65</v>
      </c>
      <c r="D18" s="1" t="s">
        <v>47</v>
      </c>
      <c r="E18" s="3">
        <v>1</v>
      </c>
      <c r="F18" s="1" t="s">
        <v>48</v>
      </c>
      <c r="G18" s="1">
        <v>1461113</v>
      </c>
      <c r="H18" s="2" t="s">
        <v>54</v>
      </c>
      <c r="I18" s="5" t="s">
        <v>50</v>
      </c>
      <c r="J18" s="1">
        <v>10</v>
      </c>
      <c r="K18" s="13" t="str">
        <f t="shared" si="24"/>
        <v>P</v>
      </c>
      <c r="L18" s="1">
        <v>12</v>
      </c>
      <c r="M18" s="13" t="str">
        <f t="shared" si="25"/>
        <v>P</v>
      </c>
      <c r="AB18" s="7" t="str">
        <f t="shared" si="17"/>
        <v>22</v>
      </c>
      <c r="AC18" s="13" t="str">
        <f t="shared" si="18"/>
        <v>D</v>
      </c>
      <c r="AD18" s="13" t="str">
        <f t="shared" si="28"/>
        <v>199</v>
      </c>
      <c r="AE18" s="1">
        <v>550</v>
      </c>
      <c r="AF18" s="15">
        <f t="shared" si="26"/>
        <v>36.18181818181818</v>
      </c>
      <c r="AG18" s="13" t="str">
        <f t="shared" si="26"/>
        <v>ATKT</v>
      </c>
      <c r="AI18" s="1">
        <v>22</v>
      </c>
      <c r="AJ18" s="15">
        <f t="shared" si="29"/>
        <v>16</v>
      </c>
      <c r="AK18" s="16">
        <f t="shared" si="29"/>
        <v>68</v>
      </c>
      <c r="AL18" s="7">
        <f t="shared" si="29"/>
        <v>0</v>
      </c>
      <c r="AR18" s="7" t="str">
        <f t="shared" si="19"/>
        <v>F</v>
      </c>
      <c r="AS18" s="8">
        <f t="shared" si="20"/>
        <v>4</v>
      </c>
      <c r="AT18" s="8">
        <f t="shared" si="21"/>
        <v>8</v>
      </c>
      <c r="AU18" s="13">
        <f>IF(OR(UPPER(TRIM(AC18))="AB", AC18=901, AC18="901"), 0, IF(ISNUMBER(MATCH(UPPER(TRIM(AC18)), {"A+","A","B+","B","C","D","P"}, 0)), 2, 0))</f>
        <v>2</v>
      </c>
      <c r="AV18" s="13">
        <f t="shared" si="22"/>
        <v>22</v>
      </c>
      <c r="AW18">
        <f t="shared" si="23"/>
        <v>22</v>
      </c>
      <c r="AX18" s="1">
        <f t="shared" si="7"/>
        <v>44</v>
      </c>
      <c r="AY18" s="13">
        <f t="shared" si="27"/>
        <v>199</v>
      </c>
    </row>
    <row r="19" spans="1:51">
      <c r="A19" s="7">
        <v>5264208</v>
      </c>
      <c r="B19" s="7"/>
      <c r="C19" s="33" t="s">
        <v>65</v>
      </c>
      <c r="D19" s="1" t="s">
        <v>47</v>
      </c>
      <c r="E19" s="3">
        <v>1</v>
      </c>
      <c r="F19" s="1" t="s">
        <v>48</v>
      </c>
      <c r="G19" s="1">
        <v>1461411</v>
      </c>
      <c r="H19" s="2" t="s">
        <v>55</v>
      </c>
      <c r="I19" s="5" t="s">
        <v>50</v>
      </c>
      <c r="J19" s="1">
        <v>9</v>
      </c>
      <c r="K19" s="13" t="str">
        <f t="shared" si="24"/>
        <v>P</v>
      </c>
      <c r="L19" s="1">
        <v>14</v>
      </c>
      <c r="M19" s="13" t="str">
        <f t="shared" si="25"/>
        <v>P</v>
      </c>
      <c r="AB19" s="7" t="str">
        <f t="shared" si="17"/>
        <v>23</v>
      </c>
      <c r="AC19" s="13" t="str">
        <f t="shared" si="18"/>
        <v>D</v>
      </c>
      <c r="AD19" s="13" t="str">
        <f t="shared" si="28"/>
        <v>199</v>
      </c>
      <c r="AE19" s="1">
        <v>550</v>
      </c>
      <c r="AF19" s="15">
        <f t="shared" si="26"/>
        <v>36.18181818181818</v>
      </c>
      <c r="AG19" s="13" t="str">
        <f t="shared" si="26"/>
        <v>ATKT</v>
      </c>
      <c r="AI19" s="1">
        <v>22</v>
      </c>
      <c r="AJ19" s="15">
        <f t="shared" si="29"/>
        <v>16</v>
      </c>
      <c r="AK19" s="16">
        <f t="shared" si="29"/>
        <v>68</v>
      </c>
      <c r="AL19" s="7">
        <f t="shared" si="29"/>
        <v>0</v>
      </c>
      <c r="AR19" s="7" t="str">
        <f t="shared" si="19"/>
        <v>F</v>
      </c>
      <c r="AS19" s="8">
        <f t="shared" si="20"/>
        <v>4</v>
      </c>
      <c r="AT19" s="8">
        <f t="shared" si="21"/>
        <v>8</v>
      </c>
      <c r="AU19" s="13">
        <f>IF(OR(UPPER(TRIM(AC19))="AB", AC19=901, AC19="901"), 0, IF(ISNUMBER(MATCH(UPPER(TRIM(AC19)), {"A+","A","B+","B","C","D","P"}, 0)), 2, 0))</f>
        <v>2</v>
      </c>
      <c r="AV19" s="13">
        <f t="shared" si="22"/>
        <v>23</v>
      </c>
      <c r="AW19">
        <f t="shared" si="23"/>
        <v>23</v>
      </c>
      <c r="AX19" s="1">
        <f t="shared" si="7"/>
        <v>46</v>
      </c>
      <c r="AY19" s="13">
        <f t="shared" si="27"/>
        <v>199</v>
      </c>
    </row>
    <row r="20" spans="1:51">
      <c r="A20" s="7">
        <v>5264208</v>
      </c>
      <c r="B20" s="7"/>
      <c r="C20" s="33" t="s">
        <v>65</v>
      </c>
      <c r="D20" s="1" t="s">
        <v>47</v>
      </c>
      <c r="E20" s="3">
        <v>1</v>
      </c>
      <c r="F20" s="1" t="s">
        <v>48</v>
      </c>
      <c r="G20" s="1">
        <v>1461412</v>
      </c>
      <c r="H20" s="2" t="s">
        <v>56</v>
      </c>
      <c r="I20" s="5" t="s">
        <v>50</v>
      </c>
      <c r="J20" s="1">
        <v>9</v>
      </c>
      <c r="K20" s="13" t="str">
        <f t="shared" si="24"/>
        <v>P</v>
      </c>
      <c r="L20" s="1">
        <v>12</v>
      </c>
      <c r="M20" s="13" t="str">
        <f t="shared" si="25"/>
        <v>P</v>
      </c>
      <c r="AB20" s="7" t="str">
        <f t="shared" si="17"/>
        <v>21</v>
      </c>
      <c r="AC20" s="13" t="str">
        <f t="shared" si="18"/>
        <v>D</v>
      </c>
      <c r="AD20" s="13" t="str">
        <f t="shared" si="28"/>
        <v>199</v>
      </c>
      <c r="AE20" s="1">
        <v>550</v>
      </c>
      <c r="AF20" s="15">
        <f t="shared" si="26"/>
        <v>36.18181818181818</v>
      </c>
      <c r="AG20" s="13" t="str">
        <f t="shared" si="26"/>
        <v>ATKT</v>
      </c>
      <c r="AI20" s="1">
        <v>22</v>
      </c>
      <c r="AJ20" s="15">
        <f t="shared" si="29"/>
        <v>16</v>
      </c>
      <c r="AK20" s="16">
        <f t="shared" si="29"/>
        <v>68</v>
      </c>
      <c r="AL20" s="7">
        <f t="shared" si="29"/>
        <v>0</v>
      </c>
      <c r="AR20" s="7" t="str">
        <f t="shared" si="19"/>
        <v>F</v>
      </c>
      <c r="AS20" s="8">
        <f t="shared" si="20"/>
        <v>4</v>
      </c>
      <c r="AT20" s="8">
        <f t="shared" si="21"/>
        <v>8</v>
      </c>
      <c r="AU20" s="13">
        <f>IF(OR(UPPER(TRIM(AC20))="AB", AC20=901, AC20="901"), 0, IF(ISNUMBER(MATCH(UPPER(TRIM(AC20)), {"A+","A","B+","B","C","D","P"}, 0)), 2, 0))</f>
        <v>2</v>
      </c>
      <c r="AV20" s="13">
        <f t="shared" si="22"/>
        <v>21</v>
      </c>
      <c r="AW20">
        <f t="shared" si="23"/>
        <v>21</v>
      </c>
      <c r="AX20" s="1">
        <f t="shared" si="7"/>
        <v>42</v>
      </c>
      <c r="AY20" s="13">
        <f t="shared" si="27"/>
        <v>199</v>
      </c>
    </row>
    <row r="21" spans="1:51">
      <c r="A21" s="7">
        <v>5264208</v>
      </c>
      <c r="B21" s="7"/>
      <c r="C21" s="33" t="s">
        <v>65</v>
      </c>
      <c r="D21" s="1" t="s">
        <v>47</v>
      </c>
      <c r="E21" s="3">
        <v>1</v>
      </c>
      <c r="F21" s="1" t="s">
        <v>48</v>
      </c>
      <c r="G21" s="1">
        <v>2511515</v>
      </c>
      <c r="H21" s="2" t="s">
        <v>57</v>
      </c>
      <c r="I21" s="5" t="s">
        <v>50</v>
      </c>
      <c r="J21" s="1">
        <v>9</v>
      </c>
      <c r="K21" s="13" t="str">
        <f t="shared" si="24"/>
        <v>P</v>
      </c>
      <c r="L21" s="1">
        <v>12</v>
      </c>
      <c r="M21" s="13" t="str">
        <f t="shared" si="25"/>
        <v>P</v>
      </c>
      <c r="AB21" s="7" t="str">
        <f t="shared" si="17"/>
        <v>21</v>
      </c>
      <c r="AC21" s="13" t="str">
        <f t="shared" si="18"/>
        <v>D</v>
      </c>
      <c r="AD21" s="13" t="str">
        <f t="shared" si="28"/>
        <v>199</v>
      </c>
      <c r="AE21" s="1">
        <v>550</v>
      </c>
      <c r="AF21" s="15">
        <f t="shared" si="26"/>
        <v>36.18181818181818</v>
      </c>
      <c r="AG21" s="13" t="str">
        <f t="shared" si="26"/>
        <v>ATKT</v>
      </c>
      <c r="AI21" s="1">
        <v>22</v>
      </c>
      <c r="AJ21" s="15">
        <f t="shared" si="29"/>
        <v>16</v>
      </c>
      <c r="AK21" s="16">
        <f t="shared" si="29"/>
        <v>68</v>
      </c>
      <c r="AL21" s="7">
        <f t="shared" si="29"/>
        <v>0</v>
      </c>
      <c r="AR21" s="7" t="str">
        <f t="shared" si="19"/>
        <v>F</v>
      </c>
      <c r="AS21" s="8">
        <f t="shared" si="20"/>
        <v>4</v>
      </c>
      <c r="AT21" s="8">
        <f t="shared" si="21"/>
        <v>8</v>
      </c>
      <c r="AU21" s="13">
        <f>IF(OR(UPPER(TRIM(AC21))="AB", AC21=901, AC21="901"), 0, IF(ISNUMBER(MATCH(UPPER(TRIM(AC21)), {"A+","A","B+","B","C","D","P"}, 0)), 2, 0))</f>
        <v>2</v>
      </c>
      <c r="AV21" s="13">
        <f t="shared" si="22"/>
        <v>21</v>
      </c>
      <c r="AW21">
        <f t="shared" si="23"/>
        <v>21</v>
      </c>
      <c r="AX21" s="1">
        <f t="shared" si="7"/>
        <v>42</v>
      </c>
      <c r="AY21" s="13">
        <f t="shared" si="27"/>
        <v>199</v>
      </c>
    </row>
    <row r="22" spans="1:51">
      <c r="A22" s="7">
        <v>5264208</v>
      </c>
      <c r="B22" s="7"/>
      <c r="C22" s="33" t="s">
        <v>65</v>
      </c>
      <c r="D22" s="1" t="s">
        <v>47</v>
      </c>
      <c r="E22" s="3">
        <v>1</v>
      </c>
      <c r="F22" s="1" t="s">
        <v>48</v>
      </c>
      <c r="G22" s="1">
        <v>2521615</v>
      </c>
      <c r="H22" s="4" t="s">
        <v>58</v>
      </c>
      <c r="I22" s="5" t="s">
        <v>50</v>
      </c>
      <c r="J22" s="1">
        <v>8</v>
      </c>
      <c r="K22" s="13" t="str">
        <f t="shared" si="24"/>
        <v>P</v>
      </c>
      <c r="L22" s="1">
        <v>12</v>
      </c>
      <c r="M22" s="13" t="str">
        <f t="shared" si="25"/>
        <v>P</v>
      </c>
      <c r="AB22" s="7" t="str">
        <f t="shared" si="17"/>
        <v>20</v>
      </c>
      <c r="AC22" s="13" t="str">
        <f t="shared" si="18"/>
        <v>D</v>
      </c>
      <c r="AD22" s="13" t="str">
        <f t="shared" si="28"/>
        <v>199</v>
      </c>
      <c r="AE22" s="1">
        <v>550</v>
      </c>
      <c r="AF22" s="15">
        <f t="shared" si="26"/>
        <v>36.18181818181818</v>
      </c>
      <c r="AG22" s="13" t="str">
        <f t="shared" si="26"/>
        <v>ATKT</v>
      </c>
      <c r="AI22" s="1">
        <v>22</v>
      </c>
      <c r="AJ22" s="15">
        <f t="shared" si="29"/>
        <v>16</v>
      </c>
      <c r="AK22" s="16">
        <f t="shared" si="29"/>
        <v>68</v>
      </c>
      <c r="AL22" s="7">
        <f t="shared" si="29"/>
        <v>0</v>
      </c>
      <c r="AR22" s="7" t="str">
        <f t="shared" si="19"/>
        <v>F</v>
      </c>
      <c r="AS22" s="8">
        <f t="shared" si="20"/>
        <v>4</v>
      </c>
      <c r="AT22" s="8">
        <f t="shared" si="21"/>
        <v>8</v>
      </c>
      <c r="AU22" s="13">
        <f>IF(OR(UPPER(TRIM(AC22))="AB", AC22=901, AC22="901"), 0, IF(ISNUMBER(MATCH(UPPER(TRIM(AC22)), {"A+","A","B+","B","C","D","P"}, 0)), 2, 0))</f>
        <v>2</v>
      </c>
      <c r="AV22" s="13">
        <f t="shared" si="22"/>
        <v>20</v>
      </c>
      <c r="AW22">
        <f t="shared" si="23"/>
        <v>20</v>
      </c>
      <c r="AX22" s="1">
        <f t="shared" si="7"/>
        <v>40</v>
      </c>
      <c r="AY22" s="13">
        <f t="shared" si="27"/>
        <v>199</v>
      </c>
    </row>
    <row r="23" spans="1:51">
      <c r="A23" s="7">
        <v>5264208</v>
      </c>
      <c r="B23" s="7"/>
      <c r="C23" s="33" t="s">
        <v>65</v>
      </c>
      <c r="D23" s="1" t="s">
        <v>47</v>
      </c>
      <c r="E23" s="3">
        <v>1</v>
      </c>
      <c r="F23" s="1" t="s">
        <v>48</v>
      </c>
      <c r="G23" s="1">
        <v>2531511</v>
      </c>
      <c r="H23" s="2" t="s">
        <v>59</v>
      </c>
      <c r="I23" s="5" t="s">
        <v>50</v>
      </c>
      <c r="J23" s="1">
        <v>16</v>
      </c>
      <c r="K23" s="13" t="str">
        <f t="shared" si="24"/>
        <v>P</v>
      </c>
      <c r="L23" s="1">
        <v>12</v>
      </c>
      <c r="M23" s="13" t="str">
        <f t="shared" si="25"/>
        <v>P</v>
      </c>
      <c r="AB23" s="7" t="str">
        <f t="shared" si="17"/>
        <v>28</v>
      </c>
      <c r="AC23" s="13" t="str">
        <f t="shared" si="18"/>
        <v>B</v>
      </c>
      <c r="AD23" s="13" t="str">
        <f t="shared" si="28"/>
        <v>199</v>
      </c>
      <c r="AE23" s="1">
        <v>550</v>
      </c>
      <c r="AF23" s="15">
        <f t="shared" si="26"/>
        <v>36.18181818181818</v>
      </c>
      <c r="AG23" s="13" t="str">
        <f t="shared" si="26"/>
        <v>ATKT</v>
      </c>
      <c r="AI23" s="1">
        <v>22</v>
      </c>
      <c r="AJ23" s="15">
        <f t="shared" si="29"/>
        <v>16</v>
      </c>
      <c r="AK23" s="16">
        <f t="shared" si="29"/>
        <v>68</v>
      </c>
      <c r="AL23" s="7">
        <f t="shared" si="29"/>
        <v>0</v>
      </c>
      <c r="AR23" s="7" t="str">
        <f t="shared" si="19"/>
        <v>F</v>
      </c>
      <c r="AS23" s="8">
        <f t="shared" si="20"/>
        <v>6</v>
      </c>
      <c r="AT23" s="8">
        <f t="shared" si="21"/>
        <v>12</v>
      </c>
      <c r="AU23" s="13">
        <f>IF(OR(UPPER(TRIM(AC23))="AB", AC23=901, AC23="901"), 0, IF(ISNUMBER(MATCH(UPPER(TRIM(AC23)), {"A+","A","B+","B","C","D","P"}, 0)), 2, 0))</f>
        <v>2</v>
      </c>
      <c r="AV23" s="13">
        <f t="shared" si="22"/>
        <v>28</v>
      </c>
      <c r="AW23">
        <f t="shared" si="23"/>
        <v>28</v>
      </c>
      <c r="AX23" s="1">
        <f t="shared" si="7"/>
        <v>56.000000000000007</v>
      </c>
      <c r="AY23" s="13">
        <f t="shared" si="27"/>
        <v>199</v>
      </c>
    </row>
    <row r="24" spans="1:51">
      <c r="A24" s="7">
        <v>5264208</v>
      </c>
      <c r="B24" s="7"/>
      <c r="C24" s="33" t="s">
        <v>65</v>
      </c>
      <c r="D24" s="1" t="s">
        <v>47</v>
      </c>
      <c r="E24" s="3">
        <v>1</v>
      </c>
      <c r="F24" s="1" t="s">
        <v>48</v>
      </c>
      <c r="G24" s="1">
        <v>2541515</v>
      </c>
      <c r="H24" s="2" t="s">
        <v>60</v>
      </c>
      <c r="I24" s="5" t="s">
        <v>50</v>
      </c>
      <c r="J24" s="1">
        <v>10</v>
      </c>
      <c r="K24" s="13" t="str">
        <f t="shared" si="24"/>
        <v>P</v>
      </c>
      <c r="L24" s="6">
        <v>0</v>
      </c>
      <c r="M24" s="13" t="str">
        <f t="shared" si="25"/>
        <v>F</v>
      </c>
      <c r="AB24" s="7" t="str">
        <f t="shared" si="17"/>
        <v>10</v>
      </c>
      <c r="AC24" s="13" t="str">
        <f t="shared" si="18"/>
        <v>F</v>
      </c>
      <c r="AD24" s="13" t="str">
        <f t="shared" si="28"/>
        <v>199</v>
      </c>
      <c r="AE24" s="1">
        <v>550</v>
      </c>
      <c r="AF24" s="15">
        <f t="shared" si="26"/>
        <v>36.18181818181818</v>
      </c>
      <c r="AG24" s="13" t="str">
        <f t="shared" si="26"/>
        <v>ATKT</v>
      </c>
      <c r="AI24" s="1">
        <v>22</v>
      </c>
      <c r="AJ24" s="15">
        <f t="shared" si="29"/>
        <v>16</v>
      </c>
      <c r="AK24" s="16">
        <f t="shared" si="29"/>
        <v>68</v>
      </c>
      <c r="AL24" s="7">
        <f t="shared" si="29"/>
        <v>0</v>
      </c>
      <c r="AR24" s="7" t="str">
        <f t="shared" si="19"/>
        <v>F</v>
      </c>
      <c r="AS24" s="8">
        <f t="shared" si="20"/>
        <v>0</v>
      </c>
      <c r="AT24" s="8">
        <f t="shared" si="21"/>
        <v>0</v>
      </c>
      <c r="AU24" s="13">
        <f>IF(OR(UPPER(TRIM(AC24))="AB", AC24=901, AC24="901"), 0, IF(ISNUMBER(MATCH(UPPER(TRIM(AC24)), {"A+","A","B+","B","C","D","P"}, 0)), 2, 0))</f>
        <v>0</v>
      </c>
      <c r="AV24" s="13">
        <f t="shared" si="22"/>
        <v>10</v>
      </c>
      <c r="AW24">
        <f t="shared" si="23"/>
        <v>10</v>
      </c>
      <c r="AX24" s="1">
        <f t="shared" si="7"/>
        <v>20</v>
      </c>
      <c r="AY24" s="13">
        <f t="shared" si="27"/>
        <v>199</v>
      </c>
    </row>
    <row r="26" spans="1:51">
      <c r="A26" s="7">
        <v>5075474</v>
      </c>
      <c r="B26" s="7"/>
      <c r="C26" s="33" t="s">
        <v>66</v>
      </c>
      <c r="D26" s="1" t="s">
        <v>47</v>
      </c>
      <c r="E26" s="3">
        <v>1</v>
      </c>
      <c r="F26" s="1" t="s">
        <v>48</v>
      </c>
      <c r="G26" s="1">
        <v>1011312</v>
      </c>
      <c r="H26" s="2" t="s">
        <v>49</v>
      </c>
      <c r="I26" s="5" t="s">
        <v>50</v>
      </c>
      <c r="J26" s="6">
        <v>15</v>
      </c>
      <c r="K26" s="13" t="str">
        <f>IF(OR(UPPER(TRIM(J26))="AB",J26=901,J26="901"),"F",IF(J26&gt;=8,"P","F"))</f>
        <v>P</v>
      </c>
      <c r="L26" s="1">
        <v>20</v>
      </c>
      <c r="M26" s="13" t="str">
        <f>IF(OR(UPPER(TRIM(L26))="AB",L26=901,L26="901"),"F",IF(L26&gt;=8,"P","F"))</f>
        <v>P</v>
      </c>
      <c r="N26" s="13"/>
      <c r="O26" s="13"/>
      <c r="P26" s="13"/>
      <c r="Q26" s="13"/>
      <c r="R26" s="13"/>
      <c r="S26" s="13"/>
      <c r="T26" s="13"/>
      <c r="U26" s="13"/>
      <c r="V26" s="13"/>
      <c r="W26" s="13"/>
      <c r="X26" s="13"/>
      <c r="Y26" s="13"/>
      <c r="Z26" s="13"/>
      <c r="AB26" s="7" t="str">
        <f t="shared" ref="AB26:AB36" si="30">AV26 &amp; IF(AA26&lt;&gt;"", " @ " &amp; AA26, "")</f>
        <v>35</v>
      </c>
      <c r="AC26" s="13" t="str">
        <f t="shared" ref="AC26:AC36" si="31">IF(AX26&gt;=90,"O",
IF(AX26&gt;=80,"A+",
IF(AX26&gt;=70,"A",
IF(AX26&gt;=60,"B+",
IF(AX26&gt;=55,"B",
IF(AX26&gt;=50,"C",
IF(AX26&gt;=40,"D","F")))))))</f>
        <v>A</v>
      </c>
      <c r="AD26" s="13" t="str">
        <f>SUM(AV26:AV36) &amp; IF(SUM(AA26:AA36)&gt;0, " @ " &amp; SUM(AA26:AA36), "")</f>
        <v>313</v>
      </c>
      <c r="AE26" s="1">
        <v>550</v>
      </c>
      <c r="AF26" s="15">
        <f>AY26/AE26*100</f>
        <v>56.909090909090907</v>
      </c>
      <c r="AG26" s="13" t="str" cm="1">
        <f t="array" ref="AG26">IF(
  SUMPRODUCT(--(IFERROR(VALUE(J26:J36),9999)&lt;8))
  + SUMPRODUCT(--(IFERROR(VALUE(L26:L36),9999)&lt;12))
  + COUNTIF(J26:J36,"AB") + COUNTIF(L26:L36,"AB")
  + COUNTIF(J26:J36,901) + COUNTIF(L26:L36,901) &gt; 0,
  "ATKT",
  "PASS"
)</f>
        <v>PASS</v>
      </c>
      <c r="AI26" s="1">
        <v>22</v>
      </c>
      <c r="AJ26" s="15">
        <f>SUM(AU26:AU36)</f>
        <v>22</v>
      </c>
      <c r="AK26" s="16">
        <f>SUM(AT26:AT36)</f>
        <v>130</v>
      </c>
      <c r="AL26" s="7">
        <f>IF(UPPER(TRIM(AG26))="ATKT",0,ROUND( (SUM(AT26:AT36) /22), 2))</f>
        <v>5.91</v>
      </c>
      <c r="AR26" s="7" t="str">
        <f t="shared" ref="AR26:AR36" si="32">IF(AL26&gt;=9,"O", IF(AL26&gt;=8,"A+", IF(AL26&gt;=7,"A", IF(AL26&gt;=6,"B+", IF(AL26&gt;=5.5,"B", IF(AL26&gt;=5,"C", IF(AL26&gt;=4,"D","F")))))))</f>
        <v>B</v>
      </c>
      <c r="AS26" s="8">
        <f t="shared" ref="AS26:AS36" si="33">IF(AX26&gt;=90,10,
IF(AX26&gt;=80,9,
IF(AX26&gt;=70,8,
IF(AX26&gt;=60,7,
IF(AX26&gt;=55,6,
IF(AX26&gt;=50,5,
IF(AX26&gt;=40,4,0)))))))</f>
        <v>8</v>
      </c>
      <c r="AT26" s="8">
        <f t="shared" ref="AT26:AT36" si="34">AS26*I26</f>
        <v>16</v>
      </c>
      <c r="AU26" s="13">
        <f>IF(OR(UPPER(TRIM(AC26))="AB", AC26=901, AC26="901"), 0, IF(ISNUMBER(MATCH(UPPER(TRIM(AC26)), {"A+","A","B+","B","C","D","P"}, 0)), 2, 0))</f>
        <v>2</v>
      </c>
      <c r="AV26" s="13">
        <f t="shared" ref="AV26:AV36" si="35">SUM(
IF(OR(UPPER(TRIM(J26))="AB",J26=901,J26="901"),0,IFERROR(VALUE(J26),0)),
IF(OR(UPPER(TRIM(L26))="AB",L26=901,L26="901"),0,IFERROR(VALUE(L26),0)),
IF(OR(UPPER(TRIM(N26))="AB",N26=901,N26="901"),0,IFERROR(VALUE(N26),0))
)</f>
        <v>35</v>
      </c>
      <c r="AW26">
        <f t="shared" ref="AW26:AW36" si="36">AA26+AV26</f>
        <v>35</v>
      </c>
      <c r="AX26" s="1">
        <f t="shared" si="7"/>
        <v>70</v>
      </c>
      <c r="AY26" s="13">
        <f>SUM(AW26:AW36)</f>
        <v>313</v>
      </c>
    </row>
    <row r="27" spans="1:51">
      <c r="A27" s="7">
        <v>5075474</v>
      </c>
      <c r="B27" s="7"/>
      <c r="C27" s="33" t="s">
        <v>66</v>
      </c>
      <c r="D27" s="1" t="s">
        <v>47</v>
      </c>
      <c r="E27" s="3">
        <v>1</v>
      </c>
      <c r="F27" s="1" t="s">
        <v>48</v>
      </c>
      <c r="G27" s="1">
        <v>1171312</v>
      </c>
      <c r="H27" s="2" t="s">
        <v>51</v>
      </c>
      <c r="I27" s="5" t="s">
        <v>50</v>
      </c>
      <c r="J27" s="1">
        <v>18</v>
      </c>
      <c r="K27" s="13" t="str">
        <f t="shared" ref="K27:K36" si="37">IF(OR(UPPER(TRIM(J27))="AB",J27=901,J27="901"),"F",IF(J27&gt;=8,"P","F"))</f>
        <v>P</v>
      </c>
      <c r="L27" s="1">
        <v>17</v>
      </c>
      <c r="M27" s="13" t="str">
        <f t="shared" ref="M27:M36" si="38">IF(OR(UPPER(TRIM(L27))="AB",L27=901,L27="901"),"F",IF(L27&gt;=8,"P","F"))</f>
        <v>P</v>
      </c>
      <c r="AB27" s="7" t="str">
        <f t="shared" si="30"/>
        <v>35</v>
      </c>
      <c r="AC27" s="13" t="str">
        <f t="shared" si="31"/>
        <v>A</v>
      </c>
      <c r="AD27" s="13" t="str">
        <f>AD26</f>
        <v>313</v>
      </c>
      <c r="AE27" s="1">
        <v>550</v>
      </c>
      <c r="AF27" s="15">
        <f t="shared" ref="AF27:AG36" si="39">AF26</f>
        <v>56.909090909090907</v>
      </c>
      <c r="AG27" s="13" t="str">
        <f t="shared" si="39"/>
        <v>PASS</v>
      </c>
      <c r="AI27" s="1">
        <v>22</v>
      </c>
      <c r="AJ27" s="15">
        <f>AJ26</f>
        <v>22</v>
      </c>
      <c r="AK27" s="16">
        <f>AK26</f>
        <v>130</v>
      </c>
      <c r="AL27" s="7">
        <f>AL26</f>
        <v>5.91</v>
      </c>
      <c r="AR27" s="7" t="str">
        <f t="shared" si="32"/>
        <v>B</v>
      </c>
      <c r="AS27" s="8">
        <f t="shared" si="33"/>
        <v>8</v>
      </c>
      <c r="AT27" s="8">
        <f t="shared" si="34"/>
        <v>16</v>
      </c>
      <c r="AU27" s="13">
        <f>IF(OR(UPPER(TRIM(AC27))="AB", AC27=901, AC27="901"), 0, IF(ISNUMBER(MATCH(UPPER(TRIM(AC27)), {"A+","A","B+","B","C","D","P"}, 0)), 2, 0))</f>
        <v>2</v>
      </c>
      <c r="AV27" s="13">
        <f t="shared" si="35"/>
        <v>35</v>
      </c>
      <c r="AW27">
        <f t="shared" si="36"/>
        <v>35</v>
      </c>
      <c r="AX27" s="1">
        <f t="shared" si="7"/>
        <v>70</v>
      </c>
      <c r="AY27" s="13">
        <f t="shared" ref="AY27:AY36" si="40">AY26</f>
        <v>313</v>
      </c>
    </row>
    <row r="28" spans="1:51">
      <c r="A28" s="7">
        <v>5075474</v>
      </c>
      <c r="B28" s="7"/>
      <c r="C28" s="33" t="s">
        <v>66</v>
      </c>
      <c r="D28" s="1" t="s">
        <v>47</v>
      </c>
      <c r="E28" s="3">
        <v>1</v>
      </c>
      <c r="F28" s="1" t="s">
        <v>48</v>
      </c>
      <c r="G28" s="1">
        <v>1461111</v>
      </c>
      <c r="H28" s="2" t="s">
        <v>52</v>
      </c>
      <c r="I28" s="5" t="s">
        <v>50</v>
      </c>
      <c r="J28" s="1">
        <v>12</v>
      </c>
      <c r="K28" s="13" t="str">
        <f t="shared" si="37"/>
        <v>P</v>
      </c>
      <c r="L28" s="1">
        <v>12</v>
      </c>
      <c r="M28" s="13" t="str">
        <f t="shared" si="38"/>
        <v>P</v>
      </c>
      <c r="AB28" s="7" t="str">
        <f t="shared" si="30"/>
        <v>24</v>
      </c>
      <c r="AC28" s="13" t="str">
        <f t="shared" si="31"/>
        <v>D</v>
      </c>
      <c r="AD28" s="13" t="str">
        <f t="shared" ref="AD28:AD36" si="41">AD27</f>
        <v>313</v>
      </c>
      <c r="AE28" s="1">
        <v>550</v>
      </c>
      <c r="AF28" s="15">
        <f t="shared" si="39"/>
        <v>56.909090909090907</v>
      </c>
      <c r="AG28" s="13" t="str">
        <f t="shared" si="39"/>
        <v>PASS</v>
      </c>
      <c r="AI28" s="1">
        <v>22</v>
      </c>
      <c r="AJ28" s="15">
        <f t="shared" ref="AJ28:AL36" si="42">AJ27</f>
        <v>22</v>
      </c>
      <c r="AK28" s="16">
        <f t="shared" si="42"/>
        <v>130</v>
      </c>
      <c r="AL28" s="7">
        <f t="shared" si="42"/>
        <v>5.91</v>
      </c>
      <c r="AR28" s="7" t="str">
        <f t="shared" si="32"/>
        <v>B</v>
      </c>
      <c r="AS28" s="8">
        <f t="shared" si="33"/>
        <v>4</v>
      </c>
      <c r="AT28" s="8">
        <f t="shared" si="34"/>
        <v>8</v>
      </c>
      <c r="AU28" s="13">
        <f>IF(OR(UPPER(TRIM(AC28))="AB", AC28=901, AC28="901"), 0, IF(ISNUMBER(MATCH(UPPER(TRIM(AC28)), {"A+","A","B+","B","C","D","P"}, 0)), 2, 0))</f>
        <v>2</v>
      </c>
      <c r="AV28" s="13">
        <f t="shared" si="35"/>
        <v>24</v>
      </c>
      <c r="AW28">
        <f t="shared" si="36"/>
        <v>24</v>
      </c>
      <c r="AX28" s="1">
        <f t="shared" si="7"/>
        <v>48</v>
      </c>
      <c r="AY28" s="13">
        <f t="shared" si="40"/>
        <v>313</v>
      </c>
    </row>
    <row r="29" spans="1:51">
      <c r="A29" s="7">
        <v>5075474</v>
      </c>
      <c r="B29" s="7"/>
      <c r="C29" s="33" t="s">
        <v>66</v>
      </c>
      <c r="D29" s="1" t="s">
        <v>47</v>
      </c>
      <c r="E29" s="3">
        <v>1</v>
      </c>
      <c r="F29" s="1" t="s">
        <v>48</v>
      </c>
      <c r="G29" s="1">
        <v>1461112</v>
      </c>
      <c r="H29" s="2" t="s">
        <v>53</v>
      </c>
      <c r="I29" s="5" t="s">
        <v>50</v>
      </c>
      <c r="J29" s="1">
        <v>12</v>
      </c>
      <c r="K29" s="13" t="str">
        <f t="shared" si="37"/>
        <v>P</v>
      </c>
      <c r="L29" s="1">
        <v>13</v>
      </c>
      <c r="M29" s="13" t="str">
        <f t="shared" si="38"/>
        <v>P</v>
      </c>
      <c r="AB29" s="7" t="str">
        <f t="shared" si="30"/>
        <v>25</v>
      </c>
      <c r="AC29" s="13" t="str">
        <f t="shared" si="31"/>
        <v>C</v>
      </c>
      <c r="AD29" s="13" t="str">
        <f t="shared" si="41"/>
        <v>313</v>
      </c>
      <c r="AE29" s="1">
        <v>550</v>
      </c>
      <c r="AF29" s="15">
        <f t="shared" si="39"/>
        <v>56.909090909090907</v>
      </c>
      <c r="AG29" s="13" t="str">
        <f t="shared" si="39"/>
        <v>PASS</v>
      </c>
      <c r="AI29" s="1">
        <v>22</v>
      </c>
      <c r="AJ29" s="15">
        <f t="shared" si="42"/>
        <v>22</v>
      </c>
      <c r="AK29" s="16">
        <f t="shared" si="42"/>
        <v>130</v>
      </c>
      <c r="AL29" s="7">
        <f t="shared" si="42"/>
        <v>5.91</v>
      </c>
      <c r="AR29" s="7" t="str">
        <f t="shared" si="32"/>
        <v>B</v>
      </c>
      <c r="AS29" s="8">
        <f t="shared" si="33"/>
        <v>5</v>
      </c>
      <c r="AT29" s="8">
        <f t="shared" si="34"/>
        <v>10</v>
      </c>
      <c r="AU29" s="13">
        <f>IF(OR(UPPER(TRIM(AC29))="AB", AC29=901, AC29="901"), 0, IF(ISNUMBER(MATCH(UPPER(TRIM(AC29)), {"A+","A","B+","B","C","D","P"}, 0)), 2, 0))</f>
        <v>2</v>
      </c>
      <c r="AV29" s="13">
        <f t="shared" si="35"/>
        <v>25</v>
      </c>
      <c r="AW29">
        <f t="shared" si="36"/>
        <v>25</v>
      </c>
      <c r="AX29" s="1">
        <f t="shared" si="7"/>
        <v>50</v>
      </c>
      <c r="AY29" s="13">
        <f t="shared" si="40"/>
        <v>313</v>
      </c>
    </row>
    <row r="30" spans="1:51">
      <c r="A30" s="7">
        <v>5075474</v>
      </c>
      <c r="B30" s="7"/>
      <c r="C30" s="33" t="s">
        <v>66</v>
      </c>
      <c r="D30" s="1" t="s">
        <v>47</v>
      </c>
      <c r="E30" s="3">
        <v>1</v>
      </c>
      <c r="F30" s="1" t="s">
        <v>48</v>
      </c>
      <c r="G30" s="1">
        <v>1461113</v>
      </c>
      <c r="H30" s="2" t="s">
        <v>54</v>
      </c>
      <c r="I30" s="5" t="s">
        <v>50</v>
      </c>
      <c r="J30" s="1">
        <v>18</v>
      </c>
      <c r="K30" s="13" t="str">
        <f t="shared" si="37"/>
        <v>P</v>
      </c>
      <c r="L30" s="1">
        <v>12</v>
      </c>
      <c r="M30" s="13" t="str">
        <f t="shared" si="38"/>
        <v>P</v>
      </c>
      <c r="AB30" s="7" t="str">
        <f t="shared" si="30"/>
        <v>30</v>
      </c>
      <c r="AC30" s="13" t="str">
        <f t="shared" si="31"/>
        <v>B+</v>
      </c>
      <c r="AD30" s="13" t="str">
        <f t="shared" si="41"/>
        <v>313</v>
      </c>
      <c r="AE30" s="1">
        <v>550</v>
      </c>
      <c r="AF30" s="15">
        <f t="shared" si="39"/>
        <v>56.909090909090907</v>
      </c>
      <c r="AG30" s="13" t="str">
        <f t="shared" si="39"/>
        <v>PASS</v>
      </c>
      <c r="AI30" s="1">
        <v>22</v>
      </c>
      <c r="AJ30" s="15">
        <f t="shared" si="42"/>
        <v>22</v>
      </c>
      <c r="AK30" s="16">
        <f t="shared" si="42"/>
        <v>130</v>
      </c>
      <c r="AL30" s="7">
        <f t="shared" si="42"/>
        <v>5.91</v>
      </c>
      <c r="AR30" s="7" t="str">
        <f t="shared" si="32"/>
        <v>B</v>
      </c>
      <c r="AS30" s="8">
        <f t="shared" si="33"/>
        <v>7</v>
      </c>
      <c r="AT30" s="8">
        <f t="shared" si="34"/>
        <v>14</v>
      </c>
      <c r="AU30" s="13">
        <f>IF(OR(UPPER(TRIM(AC30))="AB", AC30=901, AC30="901"), 0, IF(ISNUMBER(MATCH(UPPER(TRIM(AC30)), {"A+","A","B+","B","C","D","P"}, 0)), 2, 0))</f>
        <v>2</v>
      </c>
      <c r="AV30" s="13">
        <f t="shared" si="35"/>
        <v>30</v>
      </c>
      <c r="AW30">
        <f t="shared" si="36"/>
        <v>30</v>
      </c>
      <c r="AX30" s="1">
        <f t="shared" si="7"/>
        <v>60</v>
      </c>
      <c r="AY30" s="13">
        <f t="shared" si="40"/>
        <v>313</v>
      </c>
    </row>
    <row r="31" spans="1:51">
      <c r="A31" s="7">
        <v>5075474</v>
      </c>
      <c r="B31" s="7"/>
      <c r="C31" s="33" t="s">
        <v>66</v>
      </c>
      <c r="D31" s="1" t="s">
        <v>47</v>
      </c>
      <c r="E31" s="3">
        <v>1</v>
      </c>
      <c r="F31" s="1" t="s">
        <v>48</v>
      </c>
      <c r="G31" s="1">
        <v>1461411</v>
      </c>
      <c r="H31" s="2" t="s">
        <v>55</v>
      </c>
      <c r="I31" s="5" t="s">
        <v>50</v>
      </c>
      <c r="J31" s="1">
        <v>16</v>
      </c>
      <c r="K31" s="13" t="str">
        <f t="shared" si="37"/>
        <v>P</v>
      </c>
      <c r="L31" s="1">
        <v>14</v>
      </c>
      <c r="M31" s="13" t="str">
        <f t="shared" si="38"/>
        <v>P</v>
      </c>
      <c r="AB31" s="7" t="str">
        <f t="shared" si="30"/>
        <v>30</v>
      </c>
      <c r="AC31" s="13" t="str">
        <f t="shared" si="31"/>
        <v>B+</v>
      </c>
      <c r="AD31" s="13" t="str">
        <f t="shared" si="41"/>
        <v>313</v>
      </c>
      <c r="AE31" s="1">
        <v>550</v>
      </c>
      <c r="AF31" s="15">
        <f t="shared" si="39"/>
        <v>56.909090909090907</v>
      </c>
      <c r="AG31" s="13" t="str">
        <f t="shared" si="39"/>
        <v>PASS</v>
      </c>
      <c r="AI31" s="1">
        <v>22</v>
      </c>
      <c r="AJ31" s="15">
        <f t="shared" si="42"/>
        <v>22</v>
      </c>
      <c r="AK31" s="16">
        <f t="shared" si="42"/>
        <v>130</v>
      </c>
      <c r="AL31" s="7">
        <f t="shared" si="42"/>
        <v>5.91</v>
      </c>
      <c r="AR31" s="7" t="str">
        <f t="shared" si="32"/>
        <v>B</v>
      </c>
      <c r="AS31" s="8">
        <f t="shared" si="33"/>
        <v>7</v>
      </c>
      <c r="AT31" s="8">
        <f t="shared" si="34"/>
        <v>14</v>
      </c>
      <c r="AU31" s="13">
        <f>IF(OR(UPPER(TRIM(AC31))="AB", AC31=901, AC31="901"), 0, IF(ISNUMBER(MATCH(UPPER(TRIM(AC31)), {"A+","A","B+","B","C","D","P"}, 0)), 2, 0))</f>
        <v>2</v>
      </c>
      <c r="AV31" s="13">
        <f t="shared" si="35"/>
        <v>30</v>
      </c>
      <c r="AW31">
        <f t="shared" si="36"/>
        <v>30</v>
      </c>
      <c r="AX31" s="1">
        <f t="shared" si="7"/>
        <v>60</v>
      </c>
      <c r="AY31" s="13">
        <f t="shared" si="40"/>
        <v>313</v>
      </c>
    </row>
    <row r="32" spans="1:51">
      <c r="A32" s="7">
        <v>5075474</v>
      </c>
      <c r="B32" s="7"/>
      <c r="C32" s="33" t="s">
        <v>66</v>
      </c>
      <c r="D32" s="1" t="s">
        <v>47</v>
      </c>
      <c r="E32" s="3">
        <v>1</v>
      </c>
      <c r="F32" s="1" t="s">
        <v>48</v>
      </c>
      <c r="G32" s="1">
        <v>1461412</v>
      </c>
      <c r="H32" s="2" t="s">
        <v>56</v>
      </c>
      <c r="I32" s="5" t="s">
        <v>50</v>
      </c>
      <c r="J32" s="1">
        <v>12</v>
      </c>
      <c r="K32" s="13" t="str">
        <f t="shared" si="37"/>
        <v>P</v>
      </c>
      <c r="L32" s="1">
        <v>14</v>
      </c>
      <c r="M32" s="13" t="str">
        <f t="shared" si="38"/>
        <v>P</v>
      </c>
      <c r="AB32" s="7" t="str">
        <f t="shared" si="30"/>
        <v>26</v>
      </c>
      <c r="AC32" s="13" t="str">
        <f t="shared" si="31"/>
        <v>C</v>
      </c>
      <c r="AD32" s="13" t="str">
        <f t="shared" si="41"/>
        <v>313</v>
      </c>
      <c r="AE32" s="1">
        <v>550</v>
      </c>
      <c r="AF32" s="15">
        <f t="shared" si="39"/>
        <v>56.909090909090907</v>
      </c>
      <c r="AG32" s="13" t="str">
        <f t="shared" si="39"/>
        <v>PASS</v>
      </c>
      <c r="AI32" s="1">
        <v>22</v>
      </c>
      <c r="AJ32" s="15">
        <f t="shared" si="42"/>
        <v>22</v>
      </c>
      <c r="AK32" s="16">
        <f t="shared" si="42"/>
        <v>130</v>
      </c>
      <c r="AL32" s="7">
        <f t="shared" si="42"/>
        <v>5.91</v>
      </c>
      <c r="AR32" s="7" t="str">
        <f t="shared" si="32"/>
        <v>B</v>
      </c>
      <c r="AS32" s="8">
        <f t="shared" si="33"/>
        <v>5</v>
      </c>
      <c r="AT32" s="8">
        <f t="shared" si="34"/>
        <v>10</v>
      </c>
      <c r="AU32" s="13">
        <f>IF(OR(UPPER(TRIM(AC32))="AB", AC32=901, AC32="901"), 0, IF(ISNUMBER(MATCH(UPPER(TRIM(AC32)), {"A+","A","B+","B","C","D","P"}, 0)), 2, 0))</f>
        <v>2</v>
      </c>
      <c r="AV32" s="13">
        <f t="shared" si="35"/>
        <v>26</v>
      </c>
      <c r="AW32">
        <f t="shared" si="36"/>
        <v>26</v>
      </c>
      <c r="AX32" s="1">
        <f t="shared" si="7"/>
        <v>52</v>
      </c>
      <c r="AY32" s="13">
        <f t="shared" si="40"/>
        <v>313</v>
      </c>
    </row>
    <row r="33" spans="1:51">
      <c r="A33" s="7">
        <v>5075474</v>
      </c>
      <c r="B33" s="7"/>
      <c r="C33" s="33" t="s">
        <v>66</v>
      </c>
      <c r="D33" s="1" t="s">
        <v>47</v>
      </c>
      <c r="E33" s="3">
        <v>1</v>
      </c>
      <c r="F33" s="1" t="s">
        <v>48</v>
      </c>
      <c r="G33" s="1">
        <v>2511515</v>
      </c>
      <c r="H33" s="2" t="s">
        <v>57</v>
      </c>
      <c r="I33" s="5" t="s">
        <v>50</v>
      </c>
      <c r="J33" s="1">
        <v>12</v>
      </c>
      <c r="K33" s="13" t="str">
        <f t="shared" si="37"/>
        <v>P</v>
      </c>
      <c r="L33" s="1">
        <v>12</v>
      </c>
      <c r="M33" s="13" t="str">
        <f t="shared" si="38"/>
        <v>P</v>
      </c>
      <c r="AB33" s="7" t="str">
        <f t="shared" si="30"/>
        <v>24</v>
      </c>
      <c r="AC33" s="13" t="str">
        <f t="shared" si="31"/>
        <v>D</v>
      </c>
      <c r="AD33" s="13" t="str">
        <f t="shared" si="41"/>
        <v>313</v>
      </c>
      <c r="AE33" s="1">
        <v>550</v>
      </c>
      <c r="AF33" s="15">
        <f t="shared" si="39"/>
        <v>56.909090909090907</v>
      </c>
      <c r="AG33" s="13" t="str">
        <f t="shared" si="39"/>
        <v>PASS</v>
      </c>
      <c r="AI33" s="1">
        <v>22</v>
      </c>
      <c r="AJ33" s="15">
        <f t="shared" si="42"/>
        <v>22</v>
      </c>
      <c r="AK33" s="16">
        <f t="shared" si="42"/>
        <v>130</v>
      </c>
      <c r="AL33" s="7">
        <f t="shared" si="42"/>
        <v>5.91</v>
      </c>
      <c r="AR33" s="7" t="str">
        <f t="shared" si="32"/>
        <v>B</v>
      </c>
      <c r="AS33" s="8">
        <f t="shared" si="33"/>
        <v>4</v>
      </c>
      <c r="AT33" s="8">
        <f t="shared" si="34"/>
        <v>8</v>
      </c>
      <c r="AU33" s="13">
        <f>IF(OR(UPPER(TRIM(AC33))="AB", AC33=901, AC33="901"), 0, IF(ISNUMBER(MATCH(UPPER(TRIM(AC33)), {"A+","A","B+","B","C","D","P"}, 0)), 2, 0))</f>
        <v>2</v>
      </c>
      <c r="AV33" s="13">
        <f t="shared" si="35"/>
        <v>24</v>
      </c>
      <c r="AW33">
        <f t="shared" si="36"/>
        <v>24</v>
      </c>
      <c r="AX33" s="1">
        <f t="shared" si="7"/>
        <v>48</v>
      </c>
      <c r="AY33" s="13">
        <f t="shared" si="40"/>
        <v>313</v>
      </c>
    </row>
    <row r="34" spans="1:51">
      <c r="A34" s="7">
        <v>5075474</v>
      </c>
      <c r="B34" s="7"/>
      <c r="C34" s="33" t="s">
        <v>66</v>
      </c>
      <c r="D34" s="1" t="s">
        <v>47</v>
      </c>
      <c r="E34" s="3">
        <v>1</v>
      </c>
      <c r="F34" s="1" t="s">
        <v>48</v>
      </c>
      <c r="G34" s="1">
        <v>2521615</v>
      </c>
      <c r="H34" s="4" t="s">
        <v>58</v>
      </c>
      <c r="I34" s="5" t="s">
        <v>50</v>
      </c>
      <c r="J34" s="1">
        <v>19</v>
      </c>
      <c r="K34" s="13" t="str">
        <f t="shared" si="37"/>
        <v>P</v>
      </c>
      <c r="L34" s="1">
        <v>12</v>
      </c>
      <c r="M34" s="13" t="str">
        <f t="shared" si="38"/>
        <v>P</v>
      </c>
      <c r="AB34" s="7" t="str">
        <f t="shared" si="30"/>
        <v>31</v>
      </c>
      <c r="AC34" s="13" t="str">
        <f t="shared" si="31"/>
        <v>B+</v>
      </c>
      <c r="AD34" s="13" t="str">
        <f t="shared" si="41"/>
        <v>313</v>
      </c>
      <c r="AE34" s="1">
        <v>550</v>
      </c>
      <c r="AF34" s="15">
        <f t="shared" si="39"/>
        <v>56.909090909090907</v>
      </c>
      <c r="AG34" s="13" t="str">
        <f t="shared" si="39"/>
        <v>PASS</v>
      </c>
      <c r="AI34" s="1">
        <v>22</v>
      </c>
      <c r="AJ34" s="15">
        <f t="shared" si="42"/>
        <v>22</v>
      </c>
      <c r="AK34" s="16">
        <f t="shared" si="42"/>
        <v>130</v>
      </c>
      <c r="AL34" s="7">
        <f t="shared" si="42"/>
        <v>5.91</v>
      </c>
      <c r="AR34" s="7" t="str">
        <f t="shared" si="32"/>
        <v>B</v>
      </c>
      <c r="AS34" s="8">
        <f t="shared" si="33"/>
        <v>7</v>
      </c>
      <c r="AT34" s="8">
        <f t="shared" si="34"/>
        <v>14</v>
      </c>
      <c r="AU34" s="13">
        <f>IF(OR(UPPER(TRIM(AC34))="AB", AC34=901, AC34="901"), 0, IF(ISNUMBER(MATCH(UPPER(TRIM(AC34)), {"A+","A","B+","B","C","D","P"}, 0)), 2, 0))</f>
        <v>2</v>
      </c>
      <c r="AV34" s="13">
        <f t="shared" si="35"/>
        <v>31</v>
      </c>
      <c r="AW34">
        <f t="shared" si="36"/>
        <v>31</v>
      </c>
      <c r="AX34" s="1">
        <f t="shared" si="7"/>
        <v>62</v>
      </c>
      <c r="AY34" s="13">
        <f t="shared" si="40"/>
        <v>313</v>
      </c>
    </row>
    <row r="35" spans="1:51">
      <c r="A35" s="7">
        <v>5075474</v>
      </c>
      <c r="B35" s="7"/>
      <c r="C35" s="33" t="s">
        <v>66</v>
      </c>
      <c r="D35" s="1" t="s">
        <v>47</v>
      </c>
      <c r="E35" s="3">
        <v>1</v>
      </c>
      <c r="F35" s="1" t="s">
        <v>48</v>
      </c>
      <c r="G35" s="1">
        <v>2531511</v>
      </c>
      <c r="H35" s="2" t="s">
        <v>59</v>
      </c>
      <c r="I35" s="5" t="s">
        <v>50</v>
      </c>
      <c r="J35" s="1">
        <v>14</v>
      </c>
      <c r="K35" s="13" t="str">
        <f t="shared" si="37"/>
        <v>P</v>
      </c>
      <c r="L35" s="1">
        <v>12</v>
      </c>
      <c r="M35" s="13" t="str">
        <f t="shared" si="38"/>
        <v>P</v>
      </c>
      <c r="AB35" s="7" t="str">
        <f t="shared" si="30"/>
        <v>26</v>
      </c>
      <c r="AC35" s="13" t="str">
        <f t="shared" si="31"/>
        <v>C</v>
      </c>
      <c r="AD35" s="13" t="str">
        <f t="shared" si="41"/>
        <v>313</v>
      </c>
      <c r="AE35" s="1">
        <v>550</v>
      </c>
      <c r="AF35" s="15">
        <f t="shared" si="39"/>
        <v>56.909090909090907</v>
      </c>
      <c r="AG35" s="13" t="str">
        <f t="shared" si="39"/>
        <v>PASS</v>
      </c>
      <c r="AI35" s="1">
        <v>22</v>
      </c>
      <c r="AJ35" s="15">
        <f t="shared" si="42"/>
        <v>22</v>
      </c>
      <c r="AK35" s="16">
        <f t="shared" si="42"/>
        <v>130</v>
      </c>
      <c r="AL35" s="7">
        <f t="shared" si="42"/>
        <v>5.91</v>
      </c>
      <c r="AR35" s="7" t="str">
        <f t="shared" si="32"/>
        <v>B</v>
      </c>
      <c r="AS35" s="8">
        <f t="shared" si="33"/>
        <v>5</v>
      </c>
      <c r="AT35" s="8">
        <f t="shared" si="34"/>
        <v>10</v>
      </c>
      <c r="AU35" s="13">
        <f>IF(OR(UPPER(TRIM(AC35))="AB", AC35=901, AC35="901"), 0, IF(ISNUMBER(MATCH(UPPER(TRIM(AC35)), {"A+","A","B+","B","C","D","P"}, 0)), 2, 0))</f>
        <v>2</v>
      </c>
      <c r="AV35" s="13">
        <f t="shared" si="35"/>
        <v>26</v>
      </c>
      <c r="AW35">
        <f t="shared" si="36"/>
        <v>26</v>
      </c>
      <c r="AX35" s="1">
        <f t="shared" si="7"/>
        <v>52</v>
      </c>
      <c r="AY35" s="13">
        <f t="shared" si="40"/>
        <v>313</v>
      </c>
    </row>
    <row r="36" spans="1:51">
      <c r="A36" s="7">
        <v>5075474</v>
      </c>
      <c r="B36" s="7"/>
      <c r="C36" s="33" t="s">
        <v>66</v>
      </c>
      <c r="D36" s="1" t="s">
        <v>47</v>
      </c>
      <c r="E36" s="3">
        <v>1</v>
      </c>
      <c r="F36" s="1" t="s">
        <v>48</v>
      </c>
      <c r="G36" s="1">
        <v>2541515</v>
      </c>
      <c r="H36" s="2" t="s">
        <v>60</v>
      </c>
      <c r="I36" s="5" t="s">
        <v>50</v>
      </c>
      <c r="J36" s="1">
        <v>15</v>
      </c>
      <c r="K36" s="13" t="str">
        <f t="shared" si="37"/>
        <v>P</v>
      </c>
      <c r="L36" s="6">
        <v>12</v>
      </c>
      <c r="M36" s="13" t="str">
        <f t="shared" si="38"/>
        <v>P</v>
      </c>
      <c r="AB36" s="7" t="str">
        <f t="shared" si="30"/>
        <v>27</v>
      </c>
      <c r="AC36" s="13" t="str">
        <f t="shared" si="31"/>
        <v>C</v>
      </c>
      <c r="AD36" s="13" t="str">
        <f t="shared" si="41"/>
        <v>313</v>
      </c>
      <c r="AE36" s="1">
        <v>550</v>
      </c>
      <c r="AF36" s="15">
        <f t="shared" si="39"/>
        <v>56.909090909090907</v>
      </c>
      <c r="AG36" s="13" t="str">
        <f t="shared" si="39"/>
        <v>PASS</v>
      </c>
      <c r="AI36" s="1">
        <v>22</v>
      </c>
      <c r="AJ36" s="15">
        <f t="shared" si="42"/>
        <v>22</v>
      </c>
      <c r="AK36" s="16">
        <f t="shared" si="42"/>
        <v>130</v>
      </c>
      <c r="AL36" s="7">
        <f t="shared" si="42"/>
        <v>5.91</v>
      </c>
      <c r="AR36" s="7" t="str">
        <f t="shared" si="32"/>
        <v>B</v>
      </c>
      <c r="AS36" s="8">
        <f t="shared" si="33"/>
        <v>5</v>
      </c>
      <c r="AT36" s="8">
        <f t="shared" si="34"/>
        <v>10</v>
      </c>
      <c r="AU36" s="13">
        <f>IF(OR(UPPER(TRIM(AC36))="AB", AC36=901, AC36="901"), 0, IF(ISNUMBER(MATCH(UPPER(TRIM(AC36)), {"A+","A","B+","B","C","D","P"}, 0)), 2, 0))</f>
        <v>2</v>
      </c>
      <c r="AV36" s="13">
        <f t="shared" si="35"/>
        <v>27</v>
      </c>
      <c r="AW36">
        <f t="shared" si="36"/>
        <v>27</v>
      </c>
      <c r="AX36" s="1">
        <f t="shared" si="7"/>
        <v>54</v>
      </c>
      <c r="AY36" s="13">
        <f t="shared" si="40"/>
        <v>313</v>
      </c>
    </row>
    <row r="38" spans="1:51">
      <c r="A38" s="7">
        <v>5206504</v>
      </c>
      <c r="B38" s="7"/>
      <c r="C38" s="33" t="s">
        <v>67</v>
      </c>
      <c r="D38" s="1" t="s">
        <v>47</v>
      </c>
      <c r="E38" s="3">
        <v>1</v>
      </c>
      <c r="F38" s="1" t="s">
        <v>48</v>
      </c>
      <c r="G38" s="1">
        <v>1011312</v>
      </c>
      <c r="H38" s="2" t="s">
        <v>49</v>
      </c>
      <c r="I38" s="5" t="s">
        <v>50</v>
      </c>
      <c r="J38" s="6">
        <v>14</v>
      </c>
      <c r="K38" s="13" t="str">
        <f>IF(OR(UPPER(TRIM(J38))="AB",J38=901,J38="901"),"F",IF(J38&gt;=8,"P","F"))</f>
        <v>P</v>
      </c>
      <c r="L38" s="1">
        <v>16</v>
      </c>
      <c r="M38" s="13" t="str">
        <f>IF(OR(UPPER(TRIM(L38))="AB",L38=901,L38="901"),"F",IF(L38&gt;=8,"P","F"))</f>
        <v>P</v>
      </c>
      <c r="N38" s="13"/>
      <c r="O38" s="13"/>
      <c r="P38" s="13"/>
      <c r="Q38" s="13"/>
      <c r="R38" s="13"/>
      <c r="S38" s="13"/>
      <c r="T38" s="13"/>
      <c r="U38" s="13"/>
      <c r="V38" s="13"/>
      <c r="W38" s="13"/>
      <c r="X38" s="13"/>
      <c r="Y38" s="13"/>
      <c r="Z38" s="13"/>
      <c r="AB38" s="7" t="str">
        <f t="shared" ref="AB38:AB48" si="43">AV38 &amp; IF(AA38&lt;&gt;"", " @ " &amp; AA38, "")</f>
        <v>30</v>
      </c>
      <c r="AC38" s="13" t="str">
        <f t="shared" ref="AC38:AC48" si="44">IF(AX38&gt;=90,"O",
IF(AX38&gt;=80,"A+",
IF(AX38&gt;=70,"A",
IF(AX38&gt;=60,"B+",
IF(AX38&gt;=55,"B",
IF(AX38&gt;=50,"C",
IF(AX38&gt;=40,"D","F")))))))</f>
        <v>B+</v>
      </c>
      <c r="AD38" s="13" t="str">
        <f>SUM(AV38:AV48) &amp; IF(SUM(AA38:AA48)&gt;0, " @ " &amp; SUM(AA38:AA48), "")</f>
        <v>277</v>
      </c>
      <c r="AE38" s="1">
        <v>550</v>
      </c>
      <c r="AF38" s="15">
        <f>AY38/AE38*100</f>
        <v>50.363636363636367</v>
      </c>
      <c r="AG38" s="13" t="str" cm="1">
        <f t="array" ref="AG38">IF(
  SUMPRODUCT(--(IFERROR(VALUE(J38:J48),9999)&lt;8))
  + SUMPRODUCT(--(IFERROR(VALUE(L38:L48),9999)&lt;12))
  + COUNTIF(J38:J48,"AB") + COUNTIF(L38:L48,"AB")
  + COUNTIF(J38:J48,901) + COUNTIF(L38:L48,901) &gt; 0,
  "ATKT",
  "PASS"
)</f>
        <v>ATKT</v>
      </c>
      <c r="AI38" s="1">
        <v>22</v>
      </c>
      <c r="AJ38" s="15">
        <f>SUM(AU38:AU48)</f>
        <v>18</v>
      </c>
      <c r="AK38" s="16">
        <f>SUM(AT38:AT48)</f>
        <v>104</v>
      </c>
      <c r="AL38" s="7">
        <f>IF(UPPER(TRIM(AG38))="ATKT",0,ROUND( (SUM(AT38:AT48) /22), 2))</f>
        <v>0</v>
      </c>
      <c r="AR38" s="7" t="str">
        <f t="shared" ref="AR38:AR48" si="45">IF(AL38&gt;=9,"O", IF(AL38&gt;=8,"A+", IF(AL38&gt;=7,"A", IF(AL38&gt;=6,"B+", IF(AL38&gt;=5.5,"B", IF(AL38&gt;=5,"C", IF(AL38&gt;=4,"D","F")))))))</f>
        <v>F</v>
      </c>
      <c r="AS38" s="8">
        <f t="shared" ref="AS38:AS48" si="46">IF(AX38&gt;=90,10,
IF(AX38&gt;=80,9,
IF(AX38&gt;=70,8,
IF(AX38&gt;=60,7,
IF(AX38&gt;=55,6,
IF(AX38&gt;=50,5,
IF(AX38&gt;=40,4,0)))))))</f>
        <v>7</v>
      </c>
      <c r="AT38" s="8">
        <f t="shared" ref="AT38:AT48" si="47">AS38*I38</f>
        <v>14</v>
      </c>
      <c r="AU38" s="13">
        <f>IF(OR(UPPER(TRIM(AC38))="AB", AC38=901, AC38="901"), 0, IF(ISNUMBER(MATCH(UPPER(TRIM(AC38)), {"A+","A","B+","B","C","D","P"}, 0)), 2, 0))</f>
        <v>2</v>
      </c>
      <c r="AV38" s="13">
        <f t="shared" ref="AV38:AV48" si="48">SUM(
IF(OR(UPPER(TRIM(J38))="AB",J38=901,J38="901"),0,IFERROR(VALUE(J38),0)),
IF(OR(UPPER(TRIM(L38))="AB",L38=901,L38="901"),0,IFERROR(VALUE(L38),0)),
IF(OR(UPPER(TRIM(N38))="AB",N38=901,N38="901"),0,IFERROR(VALUE(N38),0))
)</f>
        <v>30</v>
      </c>
      <c r="AW38">
        <f t="shared" ref="AW38:AW48" si="49">AA38+AV38</f>
        <v>30</v>
      </c>
      <c r="AX38" s="1">
        <f t="shared" si="7"/>
        <v>60</v>
      </c>
      <c r="AY38" s="13">
        <f>SUM(AW38:AW48)</f>
        <v>277</v>
      </c>
    </row>
    <row r="39" spans="1:51">
      <c r="A39" s="7">
        <v>5206504</v>
      </c>
      <c r="B39" s="7"/>
      <c r="C39" s="33" t="s">
        <v>67</v>
      </c>
      <c r="D39" s="1" t="s">
        <v>47</v>
      </c>
      <c r="E39" s="3">
        <v>1</v>
      </c>
      <c r="F39" s="1" t="s">
        <v>48</v>
      </c>
      <c r="G39" s="1">
        <v>1171312</v>
      </c>
      <c r="H39" s="2" t="s">
        <v>51</v>
      </c>
      <c r="I39" s="5" t="s">
        <v>50</v>
      </c>
      <c r="J39" s="1">
        <v>18</v>
      </c>
      <c r="K39" s="13" t="str">
        <f t="shared" ref="K39:K48" si="50">IF(OR(UPPER(TRIM(J39))="AB",J39=901,J39="901"),"F",IF(J39&gt;=8,"P","F"))</f>
        <v>P</v>
      </c>
      <c r="L39" s="1">
        <v>0</v>
      </c>
      <c r="M39" s="13" t="str">
        <f t="shared" ref="M39:M48" si="51">IF(OR(UPPER(TRIM(L39))="AB",L39=901,L39="901"),"F",IF(L39&gt;=8,"P","F"))</f>
        <v>F</v>
      </c>
      <c r="AB39" s="7" t="str">
        <f t="shared" si="43"/>
        <v>18</v>
      </c>
      <c r="AC39" s="13" t="str">
        <f t="shared" si="44"/>
        <v>F</v>
      </c>
      <c r="AD39" s="13" t="str">
        <f>AD38</f>
        <v>277</v>
      </c>
      <c r="AE39" s="1">
        <v>550</v>
      </c>
      <c r="AF39" s="15">
        <f t="shared" ref="AF39:AG48" si="52">AF38</f>
        <v>50.363636363636367</v>
      </c>
      <c r="AG39" s="13" t="str">
        <f t="shared" si="52"/>
        <v>ATKT</v>
      </c>
      <c r="AI39" s="1">
        <v>22</v>
      </c>
      <c r="AJ39" s="15">
        <f>AJ38</f>
        <v>18</v>
      </c>
      <c r="AK39" s="16">
        <f>AK38</f>
        <v>104</v>
      </c>
      <c r="AL39" s="7">
        <f>AL38</f>
        <v>0</v>
      </c>
      <c r="AR39" s="7" t="str">
        <f t="shared" si="45"/>
        <v>F</v>
      </c>
      <c r="AS39" s="8">
        <f t="shared" si="46"/>
        <v>0</v>
      </c>
      <c r="AT39" s="8">
        <f t="shared" si="47"/>
        <v>0</v>
      </c>
      <c r="AU39" s="13">
        <f>IF(OR(UPPER(TRIM(AC39))="AB", AC39=901, AC39="901"), 0, IF(ISNUMBER(MATCH(UPPER(TRIM(AC39)), {"A+","A","B+","B","C","D","P"}, 0)), 2, 0))</f>
        <v>0</v>
      </c>
      <c r="AV39" s="13">
        <f t="shared" si="48"/>
        <v>18</v>
      </c>
      <c r="AW39">
        <f t="shared" si="49"/>
        <v>18</v>
      </c>
      <c r="AX39" s="1">
        <f t="shared" si="7"/>
        <v>36</v>
      </c>
      <c r="AY39" s="13">
        <f t="shared" ref="AY39:AY48" si="53">AY38</f>
        <v>277</v>
      </c>
    </row>
    <row r="40" spans="1:51">
      <c r="A40" s="7">
        <v>5206504</v>
      </c>
      <c r="B40" s="7"/>
      <c r="C40" s="33" t="s">
        <v>67</v>
      </c>
      <c r="D40" s="1" t="s">
        <v>47</v>
      </c>
      <c r="E40" s="3">
        <v>1</v>
      </c>
      <c r="F40" s="1" t="s">
        <v>48</v>
      </c>
      <c r="G40" s="1">
        <v>1461111</v>
      </c>
      <c r="H40" s="2" t="s">
        <v>52</v>
      </c>
      <c r="I40" s="5" t="s">
        <v>50</v>
      </c>
      <c r="J40" s="1">
        <v>9</v>
      </c>
      <c r="K40" s="13" t="str">
        <f t="shared" si="50"/>
        <v>P</v>
      </c>
      <c r="L40" s="1">
        <v>4</v>
      </c>
      <c r="M40" s="13" t="str">
        <f t="shared" si="51"/>
        <v>F</v>
      </c>
      <c r="AB40" s="7" t="str">
        <f t="shared" si="43"/>
        <v>13</v>
      </c>
      <c r="AC40" s="13" t="str">
        <f t="shared" si="44"/>
        <v>F</v>
      </c>
      <c r="AD40" s="13" t="str">
        <f t="shared" ref="AD40:AD48" si="54">AD39</f>
        <v>277</v>
      </c>
      <c r="AE40" s="1">
        <v>550</v>
      </c>
      <c r="AF40" s="15">
        <f t="shared" si="52"/>
        <v>50.363636363636367</v>
      </c>
      <c r="AG40" s="13" t="str">
        <f t="shared" si="52"/>
        <v>ATKT</v>
      </c>
      <c r="AI40" s="1">
        <v>22</v>
      </c>
      <c r="AJ40" s="15">
        <f t="shared" ref="AJ40:AL48" si="55">AJ39</f>
        <v>18</v>
      </c>
      <c r="AK40" s="16">
        <f t="shared" si="55"/>
        <v>104</v>
      </c>
      <c r="AL40" s="7">
        <f t="shared" si="55"/>
        <v>0</v>
      </c>
      <c r="AR40" s="7" t="str">
        <f t="shared" si="45"/>
        <v>F</v>
      </c>
      <c r="AS40" s="8">
        <f t="shared" si="46"/>
        <v>0</v>
      </c>
      <c r="AT40" s="8">
        <f t="shared" si="47"/>
        <v>0</v>
      </c>
      <c r="AU40" s="13">
        <f>IF(OR(UPPER(TRIM(AC40))="AB", AC40=901, AC40="901"), 0, IF(ISNUMBER(MATCH(UPPER(TRIM(AC40)), {"A+","A","B+","B","C","D","P"}, 0)), 2, 0))</f>
        <v>0</v>
      </c>
      <c r="AV40" s="13">
        <f t="shared" si="48"/>
        <v>13</v>
      </c>
      <c r="AW40">
        <f t="shared" si="49"/>
        <v>13</v>
      </c>
      <c r="AX40" s="1">
        <f t="shared" si="7"/>
        <v>26</v>
      </c>
      <c r="AY40" s="13">
        <f t="shared" si="53"/>
        <v>277</v>
      </c>
    </row>
    <row r="41" spans="1:51">
      <c r="A41" s="7">
        <v>5206504</v>
      </c>
      <c r="B41" s="7"/>
      <c r="C41" s="33" t="s">
        <v>67</v>
      </c>
      <c r="D41" s="1" t="s">
        <v>47</v>
      </c>
      <c r="E41" s="3">
        <v>1</v>
      </c>
      <c r="F41" s="1" t="s">
        <v>48</v>
      </c>
      <c r="G41" s="1">
        <v>1461112</v>
      </c>
      <c r="H41" s="2" t="s">
        <v>53</v>
      </c>
      <c r="I41" s="5" t="s">
        <v>50</v>
      </c>
      <c r="J41" s="1">
        <v>9</v>
      </c>
      <c r="K41" s="13" t="str">
        <f t="shared" si="50"/>
        <v>P</v>
      </c>
      <c r="L41" s="1">
        <v>12</v>
      </c>
      <c r="M41" s="13" t="str">
        <f t="shared" si="51"/>
        <v>P</v>
      </c>
      <c r="AB41" s="7" t="str">
        <f t="shared" si="43"/>
        <v>21</v>
      </c>
      <c r="AC41" s="13" t="str">
        <f t="shared" si="44"/>
        <v>D</v>
      </c>
      <c r="AD41" s="13" t="str">
        <f t="shared" si="54"/>
        <v>277</v>
      </c>
      <c r="AE41" s="1">
        <v>550</v>
      </c>
      <c r="AF41" s="15">
        <f t="shared" si="52"/>
        <v>50.363636363636367</v>
      </c>
      <c r="AG41" s="13" t="str">
        <f t="shared" si="52"/>
        <v>ATKT</v>
      </c>
      <c r="AI41" s="1">
        <v>22</v>
      </c>
      <c r="AJ41" s="15">
        <f t="shared" si="55"/>
        <v>18</v>
      </c>
      <c r="AK41" s="16">
        <f t="shared" si="55"/>
        <v>104</v>
      </c>
      <c r="AL41" s="7">
        <f t="shared" si="55"/>
        <v>0</v>
      </c>
      <c r="AR41" s="7" t="str">
        <f t="shared" si="45"/>
        <v>F</v>
      </c>
      <c r="AS41" s="8">
        <f t="shared" si="46"/>
        <v>4</v>
      </c>
      <c r="AT41" s="8">
        <f t="shared" si="47"/>
        <v>8</v>
      </c>
      <c r="AU41" s="13">
        <f>IF(OR(UPPER(TRIM(AC41))="AB", AC41=901, AC41="901"), 0, IF(ISNUMBER(MATCH(UPPER(TRIM(AC41)), {"A+","A","B+","B","C","D","P"}, 0)), 2, 0))</f>
        <v>2</v>
      </c>
      <c r="AV41" s="13">
        <f t="shared" si="48"/>
        <v>21</v>
      </c>
      <c r="AW41">
        <f t="shared" si="49"/>
        <v>21</v>
      </c>
      <c r="AX41" s="1">
        <f t="shared" si="7"/>
        <v>42</v>
      </c>
      <c r="AY41" s="13">
        <f t="shared" si="53"/>
        <v>277</v>
      </c>
    </row>
    <row r="42" spans="1:51">
      <c r="A42" s="7">
        <v>5206504</v>
      </c>
      <c r="B42" s="7"/>
      <c r="C42" s="33" t="s">
        <v>67</v>
      </c>
      <c r="D42" s="1" t="s">
        <v>47</v>
      </c>
      <c r="E42" s="3">
        <v>1</v>
      </c>
      <c r="F42" s="1" t="s">
        <v>48</v>
      </c>
      <c r="G42" s="1">
        <v>1461113</v>
      </c>
      <c r="H42" s="2" t="s">
        <v>54</v>
      </c>
      <c r="I42" s="5" t="s">
        <v>50</v>
      </c>
      <c r="J42" s="1">
        <v>19</v>
      </c>
      <c r="K42" s="13" t="str">
        <f t="shared" si="50"/>
        <v>P</v>
      </c>
      <c r="L42" s="1">
        <v>16</v>
      </c>
      <c r="M42" s="13" t="str">
        <f t="shared" si="51"/>
        <v>P</v>
      </c>
      <c r="AB42" s="7" t="str">
        <f t="shared" si="43"/>
        <v>35</v>
      </c>
      <c r="AC42" s="13" t="str">
        <f t="shared" si="44"/>
        <v>A</v>
      </c>
      <c r="AD42" s="13" t="str">
        <f t="shared" si="54"/>
        <v>277</v>
      </c>
      <c r="AE42" s="1">
        <v>550</v>
      </c>
      <c r="AF42" s="15">
        <f t="shared" si="52"/>
        <v>50.363636363636367</v>
      </c>
      <c r="AG42" s="13" t="str">
        <f t="shared" si="52"/>
        <v>ATKT</v>
      </c>
      <c r="AI42" s="1">
        <v>22</v>
      </c>
      <c r="AJ42" s="15">
        <f t="shared" si="55"/>
        <v>18</v>
      </c>
      <c r="AK42" s="16">
        <f t="shared" si="55"/>
        <v>104</v>
      </c>
      <c r="AL42" s="7">
        <f t="shared" si="55"/>
        <v>0</v>
      </c>
      <c r="AR42" s="7" t="str">
        <f t="shared" si="45"/>
        <v>F</v>
      </c>
      <c r="AS42" s="8">
        <f t="shared" si="46"/>
        <v>8</v>
      </c>
      <c r="AT42" s="8">
        <f t="shared" si="47"/>
        <v>16</v>
      </c>
      <c r="AU42" s="13">
        <f>IF(OR(UPPER(TRIM(AC42))="AB", AC42=901, AC42="901"), 0, IF(ISNUMBER(MATCH(UPPER(TRIM(AC42)), {"A+","A","B+","B","C","D","P"}, 0)), 2, 0))</f>
        <v>2</v>
      </c>
      <c r="AV42" s="13">
        <f t="shared" si="48"/>
        <v>35</v>
      </c>
      <c r="AW42">
        <f t="shared" si="49"/>
        <v>35</v>
      </c>
      <c r="AX42" s="1">
        <f t="shared" si="7"/>
        <v>70</v>
      </c>
      <c r="AY42" s="13">
        <f t="shared" si="53"/>
        <v>277</v>
      </c>
    </row>
    <row r="43" spans="1:51">
      <c r="A43" s="7">
        <v>5206504</v>
      </c>
      <c r="B43" s="7"/>
      <c r="C43" s="33" t="s">
        <v>67</v>
      </c>
      <c r="D43" s="1" t="s">
        <v>47</v>
      </c>
      <c r="E43" s="3">
        <v>1</v>
      </c>
      <c r="F43" s="1" t="s">
        <v>48</v>
      </c>
      <c r="G43" s="1">
        <v>1461411</v>
      </c>
      <c r="H43" s="2" t="s">
        <v>55</v>
      </c>
      <c r="I43" s="5" t="s">
        <v>50</v>
      </c>
      <c r="J43" s="1">
        <v>16</v>
      </c>
      <c r="K43" s="13" t="str">
        <f t="shared" si="50"/>
        <v>P</v>
      </c>
      <c r="L43" s="1">
        <v>12</v>
      </c>
      <c r="M43" s="13" t="str">
        <f t="shared" si="51"/>
        <v>P</v>
      </c>
      <c r="AB43" s="7" t="str">
        <f t="shared" si="43"/>
        <v>28</v>
      </c>
      <c r="AC43" s="13" t="str">
        <f t="shared" si="44"/>
        <v>B</v>
      </c>
      <c r="AD43" s="13" t="str">
        <f t="shared" si="54"/>
        <v>277</v>
      </c>
      <c r="AE43" s="1">
        <v>550</v>
      </c>
      <c r="AF43" s="15">
        <f t="shared" si="52"/>
        <v>50.363636363636367</v>
      </c>
      <c r="AG43" s="13" t="str">
        <f t="shared" si="52"/>
        <v>ATKT</v>
      </c>
      <c r="AI43" s="1">
        <v>22</v>
      </c>
      <c r="AJ43" s="15">
        <f t="shared" si="55"/>
        <v>18</v>
      </c>
      <c r="AK43" s="16">
        <f t="shared" si="55"/>
        <v>104</v>
      </c>
      <c r="AL43" s="7">
        <f t="shared" si="55"/>
        <v>0</v>
      </c>
      <c r="AR43" s="7" t="str">
        <f t="shared" si="45"/>
        <v>F</v>
      </c>
      <c r="AS43" s="8">
        <f t="shared" si="46"/>
        <v>6</v>
      </c>
      <c r="AT43" s="8">
        <f t="shared" si="47"/>
        <v>12</v>
      </c>
      <c r="AU43" s="13">
        <f>IF(OR(UPPER(TRIM(AC43))="AB", AC43=901, AC43="901"), 0, IF(ISNUMBER(MATCH(UPPER(TRIM(AC43)), {"A+","A","B+","B","C","D","P"}, 0)), 2, 0))</f>
        <v>2</v>
      </c>
      <c r="AV43" s="13">
        <f t="shared" si="48"/>
        <v>28</v>
      </c>
      <c r="AW43">
        <f t="shared" si="49"/>
        <v>28</v>
      </c>
      <c r="AX43" s="1">
        <f t="shared" si="7"/>
        <v>56.000000000000007</v>
      </c>
      <c r="AY43" s="13">
        <f t="shared" si="53"/>
        <v>277</v>
      </c>
    </row>
    <row r="44" spans="1:51">
      <c r="A44" s="7">
        <v>5206504</v>
      </c>
      <c r="B44" s="7"/>
      <c r="C44" s="33" t="s">
        <v>67</v>
      </c>
      <c r="D44" s="1" t="s">
        <v>47</v>
      </c>
      <c r="E44" s="3">
        <v>1</v>
      </c>
      <c r="F44" s="1" t="s">
        <v>48</v>
      </c>
      <c r="G44" s="1">
        <v>1461412</v>
      </c>
      <c r="H44" s="2" t="s">
        <v>56</v>
      </c>
      <c r="I44" s="5" t="s">
        <v>50</v>
      </c>
      <c r="J44" s="1">
        <v>9</v>
      </c>
      <c r="K44" s="13" t="str">
        <f t="shared" si="50"/>
        <v>P</v>
      </c>
      <c r="L44" s="1">
        <v>13</v>
      </c>
      <c r="M44" s="13" t="str">
        <f t="shared" si="51"/>
        <v>P</v>
      </c>
      <c r="AB44" s="7" t="str">
        <f t="shared" si="43"/>
        <v>22</v>
      </c>
      <c r="AC44" s="13" t="str">
        <f t="shared" si="44"/>
        <v>D</v>
      </c>
      <c r="AD44" s="13" t="str">
        <f t="shared" si="54"/>
        <v>277</v>
      </c>
      <c r="AE44" s="1">
        <v>550</v>
      </c>
      <c r="AF44" s="15">
        <f t="shared" si="52"/>
        <v>50.363636363636367</v>
      </c>
      <c r="AG44" s="13" t="str">
        <f t="shared" si="52"/>
        <v>ATKT</v>
      </c>
      <c r="AI44" s="1">
        <v>22</v>
      </c>
      <c r="AJ44" s="15">
        <f t="shared" si="55"/>
        <v>18</v>
      </c>
      <c r="AK44" s="16">
        <f t="shared" si="55"/>
        <v>104</v>
      </c>
      <c r="AL44" s="7">
        <f t="shared" si="55"/>
        <v>0</v>
      </c>
      <c r="AR44" s="7" t="str">
        <f t="shared" si="45"/>
        <v>F</v>
      </c>
      <c r="AS44" s="8">
        <f t="shared" si="46"/>
        <v>4</v>
      </c>
      <c r="AT44" s="8">
        <f t="shared" si="47"/>
        <v>8</v>
      </c>
      <c r="AU44" s="13">
        <f>IF(OR(UPPER(TRIM(AC44))="AB", AC44=901, AC44="901"), 0, IF(ISNUMBER(MATCH(UPPER(TRIM(AC44)), {"A+","A","B+","B","C","D","P"}, 0)), 2, 0))</f>
        <v>2</v>
      </c>
      <c r="AV44" s="13">
        <f t="shared" si="48"/>
        <v>22</v>
      </c>
      <c r="AW44">
        <f t="shared" si="49"/>
        <v>22</v>
      </c>
      <c r="AX44" s="1">
        <f t="shared" si="7"/>
        <v>44</v>
      </c>
      <c r="AY44" s="13">
        <f t="shared" si="53"/>
        <v>277</v>
      </c>
    </row>
    <row r="45" spans="1:51">
      <c r="A45" s="7">
        <v>5206504</v>
      </c>
      <c r="B45" s="7"/>
      <c r="C45" s="33" t="s">
        <v>67</v>
      </c>
      <c r="D45" s="1" t="s">
        <v>47</v>
      </c>
      <c r="E45" s="3">
        <v>1</v>
      </c>
      <c r="F45" s="1" t="s">
        <v>48</v>
      </c>
      <c r="G45" s="1">
        <v>2511515</v>
      </c>
      <c r="H45" s="2" t="s">
        <v>57</v>
      </c>
      <c r="I45" s="5" t="s">
        <v>50</v>
      </c>
      <c r="J45" s="1">
        <v>9</v>
      </c>
      <c r="K45" s="13" t="str">
        <f t="shared" si="50"/>
        <v>P</v>
      </c>
      <c r="L45" s="1">
        <v>14</v>
      </c>
      <c r="M45" s="13" t="str">
        <f t="shared" si="51"/>
        <v>P</v>
      </c>
      <c r="AB45" s="7" t="str">
        <f t="shared" si="43"/>
        <v>23</v>
      </c>
      <c r="AC45" s="13" t="str">
        <f t="shared" si="44"/>
        <v>D</v>
      </c>
      <c r="AD45" s="13" t="str">
        <f t="shared" si="54"/>
        <v>277</v>
      </c>
      <c r="AE45" s="1">
        <v>550</v>
      </c>
      <c r="AF45" s="15">
        <f t="shared" si="52"/>
        <v>50.363636363636367</v>
      </c>
      <c r="AG45" s="13" t="str">
        <f t="shared" si="52"/>
        <v>ATKT</v>
      </c>
      <c r="AI45" s="1">
        <v>22</v>
      </c>
      <c r="AJ45" s="15">
        <f t="shared" si="55"/>
        <v>18</v>
      </c>
      <c r="AK45" s="16">
        <f t="shared" si="55"/>
        <v>104</v>
      </c>
      <c r="AL45" s="7">
        <f t="shared" si="55"/>
        <v>0</v>
      </c>
      <c r="AR45" s="7" t="str">
        <f t="shared" si="45"/>
        <v>F</v>
      </c>
      <c r="AS45" s="8">
        <f t="shared" si="46"/>
        <v>4</v>
      </c>
      <c r="AT45" s="8">
        <f t="shared" si="47"/>
        <v>8</v>
      </c>
      <c r="AU45" s="13">
        <f>IF(OR(UPPER(TRIM(AC45))="AB", AC45=901, AC45="901"), 0, IF(ISNUMBER(MATCH(UPPER(TRIM(AC45)), {"A+","A","B+","B","C","D","P"}, 0)), 2, 0))</f>
        <v>2</v>
      </c>
      <c r="AV45" s="13">
        <f t="shared" si="48"/>
        <v>23</v>
      </c>
      <c r="AW45">
        <f t="shared" si="49"/>
        <v>23</v>
      </c>
      <c r="AX45" s="1">
        <f t="shared" si="7"/>
        <v>46</v>
      </c>
      <c r="AY45" s="13">
        <f t="shared" si="53"/>
        <v>277</v>
      </c>
    </row>
    <row r="46" spans="1:51">
      <c r="A46" s="7">
        <v>5206504</v>
      </c>
      <c r="B46" s="7"/>
      <c r="C46" s="33" t="s">
        <v>67</v>
      </c>
      <c r="D46" s="1" t="s">
        <v>47</v>
      </c>
      <c r="E46" s="3">
        <v>1</v>
      </c>
      <c r="F46" s="1" t="s">
        <v>48</v>
      </c>
      <c r="G46" s="1">
        <v>2521615</v>
      </c>
      <c r="H46" s="4" t="s">
        <v>58</v>
      </c>
      <c r="I46" s="5" t="s">
        <v>50</v>
      </c>
      <c r="J46" s="1">
        <v>15</v>
      </c>
      <c r="K46" s="13" t="str">
        <f t="shared" si="50"/>
        <v>P</v>
      </c>
      <c r="L46" s="1">
        <v>14</v>
      </c>
      <c r="M46" s="13" t="str">
        <f t="shared" si="51"/>
        <v>P</v>
      </c>
      <c r="AB46" s="7" t="str">
        <f t="shared" si="43"/>
        <v>29</v>
      </c>
      <c r="AC46" s="13" t="str">
        <f t="shared" si="44"/>
        <v>B</v>
      </c>
      <c r="AD46" s="13" t="str">
        <f t="shared" si="54"/>
        <v>277</v>
      </c>
      <c r="AE46" s="1">
        <v>550</v>
      </c>
      <c r="AF46" s="15">
        <f t="shared" si="52"/>
        <v>50.363636363636367</v>
      </c>
      <c r="AG46" s="13" t="str">
        <f t="shared" si="52"/>
        <v>ATKT</v>
      </c>
      <c r="AI46" s="1">
        <v>22</v>
      </c>
      <c r="AJ46" s="15">
        <f t="shared" si="55"/>
        <v>18</v>
      </c>
      <c r="AK46" s="16">
        <f t="shared" si="55"/>
        <v>104</v>
      </c>
      <c r="AL46" s="7">
        <f t="shared" si="55"/>
        <v>0</v>
      </c>
      <c r="AR46" s="7" t="str">
        <f t="shared" si="45"/>
        <v>F</v>
      </c>
      <c r="AS46" s="8">
        <f t="shared" si="46"/>
        <v>6</v>
      </c>
      <c r="AT46" s="8">
        <f t="shared" si="47"/>
        <v>12</v>
      </c>
      <c r="AU46" s="13">
        <f>IF(OR(UPPER(TRIM(AC46))="AB", AC46=901, AC46="901"), 0, IF(ISNUMBER(MATCH(UPPER(TRIM(AC46)), {"A+","A","B+","B","C","D","P"}, 0)), 2, 0))</f>
        <v>2</v>
      </c>
      <c r="AV46" s="13">
        <f t="shared" si="48"/>
        <v>29</v>
      </c>
      <c r="AW46">
        <f t="shared" si="49"/>
        <v>29</v>
      </c>
      <c r="AX46" s="1">
        <f t="shared" si="7"/>
        <v>57.999999999999993</v>
      </c>
      <c r="AY46" s="13">
        <f t="shared" si="53"/>
        <v>277</v>
      </c>
    </row>
    <row r="47" spans="1:51">
      <c r="A47" s="7">
        <v>5206504</v>
      </c>
      <c r="B47" s="7"/>
      <c r="C47" s="33" t="s">
        <v>67</v>
      </c>
      <c r="D47" s="1" t="s">
        <v>47</v>
      </c>
      <c r="E47" s="3">
        <v>1</v>
      </c>
      <c r="F47" s="1" t="s">
        <v>48</v>
      </c>
      <c r="G47" s="1">
        <v>2531511</v>
      </c>
      <c r="H47" s="2" t="s">
        <v>59</v>
      </c>
      <c r="I47" s="5" t="s">
        <v>50</v>
      </c>
      <c r="J47" s="1">
        <v>16</v>
      </c>
      <c r="K47" s="13" t="str">
        <f t="shared" si="50"/>
        <v>P</v>
      </c>
      <c r="L47" s="1">
        <v>12</v>
      </c>
      <c r="M47" s="13" t="str">
        <f t="shared" si="51"/>
        <v>P</v>
      </c>
      <c r="AB47" s="7" t="str">
        <f t="shared" si="43"/>
        <v>28</v>
      </c>
      <c r="AC47" s="13" t="str">
        <f t="shared" si="44"/>
        <v>B</v>
      </c>
      <c r="AD47" s="13" t="str">
        <f t="shared" si="54"/>
        <v>277</v>
      </c>
      <c r="AE47" s="1">
        <v>550</v>
      </c>
      <c r="AF47" s="15">
        <f t="shared" si="52"/>
        <v>50.363636363636367</v>
      </c>
      <c r="AG47" s="13" t="str">
        <f t="shared" si="52"/>
        <v>ATKT</v>
      </c>
      <c r="AI47" s="1">
        <v>22</v>
      </c>
      <c r="AJ47" s="15">
        <f t="shared" si="55"/>
        <v>18</v>
      </c>
      <c r="AK47" s="16">
        <f t="shared" si="55"/>
        <v>104</v>
      </c>
      <c r="AL47" s="7">
        <f t="shared" si="55"/>
        <v>0</v>
      </c>
      <c r="AR47" s="7" t="str">
        <f t="shared" si="45"/>
        <v>F</v>
      </c>
      <c r="AS47" s="8">
        <f t="shared" si="46"/>
        <v>6</v>
      </c>
      <c r="AT47" s="8">
        <f t="shared" si="47"/>
        <v>12</v>
      </c>
      <c r="AU47" s="13">
        <f>IF(OR(UPPER(TRIM(AC47))="AB", AC47=901, AC47="901"), 0, IF(ISNUMBER(MATCH(UPPER(TRIM(AC47)), {"A+","A","B+","B","C","D","P"}, 0)), 2, 0))</f>
        <v>2</v>
      </c>
      <c r="AV47" s="13">
        <f t="shared" si="48"/>
        <v>28</v>
      </c>
      <c r="AW47">
        <f t="shared" si="49"/>
        <v>28</v>
      </c>
      <c r="AX47" s="1">
        <f t="shared" si="7"/>
        <v>56.000000000000007</v>
      </c>
      <c r="AY47" s="13">
        <f t="shared" si="53"/>
        <v>277</v>
      </c>
    </row>
    <row r="48" spans="1:51">
      <c r="A48" s="7">
        <v>5206504</v>
      </c>
      <c r="B48" s="7"/>
      <c r="C48" s="33" t="s">
        <v>67</v>
      </c>
      <c r="D48" s="1" t="s">
        <v>47</v>
      </c>
      <c r="E48" s="3">
        <v>1</v>
      </c>
      <c r="F48" s="1" t="s">
        <v>48</v>
      </c>
      <c r="G48" s="1">
        <v>2541515</v>
      </c>
      <c r="H48" s="2" t="s">
        <v>60</v>
      </c>
      <c r="I48" s="5" t="s">
        <v>50</v>
      </c>
      <c r="J48" s="1">
        <v>15</v>
      </c>
      <c r="K48" s="13" t="str">
        <f t="shared" si="50"/>
        <v>P</v>
      </c>
      <c r="L48" s="6">
        <v>15</v>
      </c>
      <c r="M48" s="13" t="str">
        <f t="shared" si="51"/>
        <v>P</v>
      </c>
      <c r="AB48" s="7" t="str">
        <f t="shared" si="43"/>
        <v>30</v>
      </c>
      <c r="AC48" s="13" t="str">
        <f t="shared" si="44"/>
        <v>B+</v>
      </c>
      <c r="AD48" s="13" t="str">
        <f t="shared" si="54"/>
        <v>277</v>
      </c>
      <c r="AE48" s="1">
        <v>550</v>
      </c>
      <c r="AF48" s="15">
        <f t="shared" si="52"/>
        <v>50.363636363636367</v>
      </c>
      <c r="AG48" s="13" t="str">
        <f t="shared" si="52"/>
        <v>ATKT</v>
      </c>
      <c r="AI48" s="1">
        <v>22</v>
      </c>
      <c r="AJ48" s="15">
        <f t="shared" si="55"/>
        <v>18</v>
      </c>
      <c r="AK48" s="16">
        <f t="shared" si="55"/>
        <v>104</v>
      </c>
      <c r="AL48" s="7">
        <f t="shared" si="55"/>
        <v>0</v>
      </c>
      <c r="AR48" s="7" t="str">
        <f t="shared" si="45"/>
        <v>F</v>
      </c>
      <c r="AS48" s="8">
        <f t="shared" si="46"/>
        <v>7</v>
      </c>
      <c r="AT48" s="8">
        <f t="shared" si="47"/>
        <v>14</v>
      </c>
      <c r="AU48" s="13">
        <f>IF(OR(UPPER(TRIM(AC48))="AB", AC48=901, AC48="901"), 0, IF(ISNUMBER(MATCH(UPPER(TRIM(AC48)), {"A+","A","B+","B","C","D","P"}, 0)), 2, 0))</f>
        <v>2</v>
      </c>
      <c r="AV48" s="13">
        <f t="shared" si="48"/>
        <v>30</v>
      </c>
      <c r="AW48">
        <f t="shared" si="49"/>
        <v>30</v>
      </c>
      <c r="AX48" s="1">
        <f t="shared" si="7"/>
        <v>60</v>
      </c>
      <c r="AY48" s="13">
        <f t="shared" si="53"/>
        <v>277</v>
      </c>
    </row>
    <row r="50" spans="1:51">
      <c r="A50" s="7">
        <v>5341512</v>
      </c>
      <c r="B50" s="7"/>
      <c r="C50" s="33" t="s">
        <v>68</v>
      </c>
      <c r="D50" s="1" t="s">
        <v>47</v>
      </c>
      <c r="E50" s="3">
        <v>1</v>
      </c>
      <c r="F50" s="1" t="s">
        <v>48</v>
      </c>
      <c r="G50" s="1">
        <v>1011312</v>
      </c>
      <c r="H50" s="2" t="s">
        <v>49</v>
      </c>
      <c r="I50" s="5" t="s">
        <v>50</v>
      </c>
      <c r="J50" s="6">
        <v>10</v>
      </c>
      <c r="K50" s="13" t="str">
        <f>IF(OR(UPPER(TRIM(J50))="AB",J50=901,J50="901"),"F",IF(J50&gt;=8,"P","F"))</f>
        <v>P</v>
      </c>
      <c r="L50" s="1">
        <v>12</v>
      </c>
      <c r="M50" s="13" t="str">
        <f>IF(OR(UPPER(TRIM(L50))="AB",L50=901,L50="901"),"F",IF(L50&gt;=8,"P","F"))</f>
        <v>P</v>
      </c>
      <c r="N50" s="13"/>
      <c r="O50" s="13"/>
      <c r="P50" s="13"/>
      <c r="Q50" s="13"/>
      <c r="R50" s="13"/>
      <c r="S50" s="13"/>
      <c r="T50" s="13"/>
      <c r="U50" s="13"/>
      <c r="V50" s="13"/>
      <c r="W50" s="13"/>
      <c r="X50" s="13"/>
      <c r="Y50" s="13"/>
      <c r="Z50" s="13"/>
      <c r="AB50" s="7" t="str">
        <f t="shared" ref="AB50:AB60" si="56">AV50 &amp; IF(AA50&lt;&gt;"", " @ " &amp; AA50, "")</f>
        <v>22</v>
      </c>
      <c r="AC50" s="13" t="str">
        <f t="shared" ref="AC50:AC60" si="57">IF(AX50&gt;=90,"O",
IF(AX50&gt;=80,"A+",
IF(AX50&gt;=70,"A",
IF(AX50&gt;=60,"B+",
IF(AX50&gt;=55,"B",
IF(AX50&gt;=50,"C",
IF(AX50&gt;=40,"D","F")))))))</f>
        <v>D</v>
      </c>
      <c r="AD50" s="13" t="str">
        <f>SUM(AV50:AV60) &amp; IF(SUM(AA50:AA60)&gt;0, " @ " &amp; SUM(AA50:AA60), "")</f>
        <v>303</v>
      </c>
      <c r="AE50" s="1">
        <v>550</v>
      </c>
      <c r="AF50" s="15">
        <f>AY50/AE50*100</f>
        <v>55.090909090909093</v>
      </c>
      <c r="AG50" s="13" t="str" cm="1">
        <f t="array" ref="AG50">IF(
  SUMPRODUCT(--(IFERROR(VALUE(J50:J60),9999)&lt;8))
  + SUMPRODUCT(--(IFERROR(VALUE(L50:L60),9999)&lt;12))
  + COUNTIF(J50:J60,"AB") + COUNTIF(L50:L60,"AB")
  + COUNTIF(J50:J60,901) + COUNTIF(L50:L60,901) &gt; 0,
  "ATKT",
  "PASS"
)</f>
        <v>PASS</v>
      </c>
      <c r="AI50" s="1">
        <v>22</v>
      </c>
      <c r="AJ50" s="15">
        <f>SUM(AU50:AU60)</f>
        <v>22</v>
      </c>
      <c r="AK50" s="16">
        <f>SUM(AT50:AT60)</f>
        <v>126</v>
      </c>
      <c r="AL50" s="7">
        <f>IF(UPPER(TRIM(AG50))="ATKT",0,ROUND( (SUM(AT50:AT60) /22), 2))</f>
        <v>5.73</v>
      </c>
      <c r="AR50" s="7" t="str">
        <f t="shared" ref="AR50:AR60" si="58">IF(AL50&gt;=9,"O", IF(AL50&gt;=8,"A+", IF(AL50&gt;=7,"A", IF(AL50&gt;=6,"B+", IF(AL50&gt;=5.5,"B", IF(AL50&gt;=5,"C", IF(AL50&gt;=4,"D","F")))))))</f>
        <v>B</v>
      </c>
      <c r="AS50" s="8">
        <f t="shared" ref="AS50:AS60" si="59">IF(AX50&gt;=90,10,
IF(AX50&gt;=80,9,
IF(AX50&gt;=70,8,
IF(AX50&gt;=60,7,
IF(AX50&gt;=55,6,
IF(AX50&gt;=50,5,
IF(AX50&gt;=40,4,0)))))))</f>
        <v>4</v>
      </c>
      <c r="AT50" s="8">
        <f t="shared" ref="AT50:AT60" si="60">AS50*I50</f>
        <v>8</v>
      </c>
      <c r="AU50" s="13">
        <f>IF(OR(UPPER(TRIM(AC50))="AB", AC50=901, AC50="901"), 0, IF(ISNUMBER(MATCH(UPPER(TRIM(AC50)), {"A+","A","B+","B","C","D","P"}, 0)), 2, 0))</f>
        <v>2</v>
      </c>
      <c r="AV50" s="13">
        <f t="shared" ref="AV50:AV60" si="61">SUM(
IF(OR(UPPER(TRIM(J50))="AB",J50=901,J50="901"),0,IFERROR(VALUE(J50),0)),
IF(OR(UPPER(TRIM(L50))="AB",L50=901,L50="901"),0,IFERROR(VALUE(L50),0)),
IF(OR(UPPER(TRIM(N50))="AB",N50=901,N50="901"),0,IFERROR(VALUE(N50),0))
)</f>
        <v>22</v>
      </c>
      <c r="AW50">
        <f t="shared" ref="AW50:AW60" si="62">AA50+AV50</f>
        <v>22</v>
      </c>
      <c r="AX50" s="1">
        <f t="shared" si="7"/>
        <v>44</v>
      </c>
      <c r="AY50" s="13">
        <f>SUM(AW50:AW60)</f>
        <v>303</v>
      </c>
    </row>
    <row r="51" spans="1:51">
      <c r="A51" s="7">
        <v>5341512</v>
      </c>
      <c r="B51" s="7"/>
      <c r="C51" s="33" t="s">
        <v>68</v>
      </c>
      <c r="D51" s="1" t="s">
        <v>47</v>
      </c>
      <c r="E51" s="3">
        <v>1</v>
      </c>
      <c r="F51" s="1" t="s">
        <v>48</v>
      </c>
      <c r="G51" s="1">
        <v>1171312</v>
      </c>
      <c r="H51" s="2" t="s">
        <v>51</v>
      </c>
      <c r="I51" s="5" t="s">
        <v>50</v>
      </c>
      <c r="J51" s="1">
        <v>18</v>
      </c>
      <c r="K51" s="13" t="str">
        <f t="shared" ref="K51:K60" si="63">IF(OR(UPPER(TRIM(J51))="AB",J51=901,J51="901"),"F",IF(J51&gt;=8,"P","F"))</f>
        <v>P</v>
      </c>
      <c r="L51" s="1">
        <v>12</v>
      </c>
      <c r="M51" s="13" t="str">
        <f t="shared" ref="M51:M60" si="64">IF(OR(UPPER(TRIM(L51))="AB",L51=901,L51="901"),"F",IF(L51&gt;=8,"P","F"))</f>
        <v>P</v>
      </c>
      <c r="AB51" s="7" t="str">
        <f t="shared" si="56"/>
        <v>30</v>
      </c>
      <c r="AC51" s="13" t="str">
        <f t="shared" si="57"/>
        <v>B+</v>
      </c>
      <c r="AD51" s="13" t="str">
        <f>AD50</f>
        <v>303</v>
      </c>
      <c r="AE51" s="1">
        <v>550</v>
      </c>
      <c r="AF51" s="15">
        <f t="shared" ref="AF51:AG60" si="65">AF50</f>
        <v>55.090909090909093</v>
      </c>
      <c r="AG51" s="13" t="str">
        <f t="shared" si="65"/>
        <v>PASS</v>
      </c>
      <c r="AI51" s="1">
        <v>22</v>
      </c>
      <c r="AJ51" s="15">
        <f>AJ50</f>
        <v>22</v>
      </c>
      <c r="AK51" s="16">
        <f>AK50</f>
        <v>126</v>
      </c>
      <c r="AL51" s="7">
        <f>AL50</f>
        <v>5.73</v>
      </c>
      <c r="AR51" s="7" t="str">
        <f t="shared" si="58"/>
        <v>B</v>
      </c>
      <c r="AS51" s="8">
        <f t="shared" si="59"/>
        <v>7</v>
      </c>
      <c r="AT51" s="8">
        <f t="shared" si="60"/>
        <v>14</v>
      </c>
      <c r="AU51" s="13">
        <f>IF(OR(UPPER(TRIM(AC51))="AB", AC51=901, AC51="901"), 0, IF(ISNUMBER(MATCH(UPPER(TRIM(AC51)), {"A+","A","B+","B","C","D","P"}, 0)), 2, 0))</f>
        <v>2</v>
      </c>
      <c r="AV51" s="13">
        <f t="shared" si="61"/>
        <v>30</v>
      </c>
      <c r="AW51">
        <f t="shared" si="62"/>
        <v>30</v>
      </c>
      <c r="AX51" s="1">
        <f t="shared" si="7"/>
        <v>60</v>
      </c>
      <c r="AY51" s="13">
        <f t="shared" ref="AY51:AY60" si="66">AY50</f>
        <v>303</v>
      </c>
    </row>
    <row r="52" spans="1:51">
      <c r="A52" s="7">
        <v>5341512</v>
      </c>
      <c r="B52" s="7"/>
      <c r="C52" s="33" t="s">
        <v>68</v>
      </c>
      <c r="D52" s="1" t="s">
        <v>47</v>
      </c>
      <c r="E52" s="3">
        <v>1</v>
      </c>
      <c r="F52" s="1" t="s">
        <v>48</v>
      </c>
      <c r="G52" s="1">
        <v>1461111</v>
      </c>
      <c r="H52" s="2" t="s">
        <v>52</v>
      </c>
      <c r="I52" s="5" t="s">
        <v>50</v>
      </c>
      <c r="J52" s="1">
        <v>14</v>
      </c>
      <c r="K52" s="13" t="str">
        <f t="shared" si="63"/>
        <v>P</v>
      </c>
      <c r="L52" s="1">
        <v>12</v>
      </c>
      <c r="M52" s="13" t="str">
        <f t="shared" si="64"/>
        <v>P</v>
      </c>
      <c r="AB52" s="7" t="str">
        <f t="shared" si="56"/>
        <v>26</v>
      </c>
      <c r="AC52" s="13" t="str">
        <f t="shared" si="57"/>
        <v>C</v>
      </c>
      <c r="AD52" s="13" t="str">
        <f t="shared" ref="AD52:AD60" si="67">AD51</f>
        <v>303</v>
      </c>
      <c r="AE52" s="1">
        <v>550</v>
      </c>
      <c r="AF52" s="15">
        <f t="shared" si="65"/>
        <v>55.090909090909093</v>
      </c>
      <c r="AG52" s="13" t="str">
        <f t="shared" si="65"/>
        <v>PASS</v>
      </c>
      <c r="AI52" s="1">
        <v>22</v>
      </c>
      <c r="AJ52" s="15">
        <f t="shared" ref="AJ52:AL60" si="68">AJ51</f>
        <v>22</v>
      </c>
      <c r="AK52" s="16">
        <f t="shared" si="68"/>
        <v>126</v>
      </c>
      <c r="AL52" s="7">
        <f t="shared" si="68"/>
        <v>5.73</v>
      </c>
      <c r="AR52" s="7" t="str">
        <f t="shared" si="58"/>
        <v>B</v>
      </c>
      <c r="AS52" s="8">
        <f t="shared" si="59"/>
        <v>5</v>
      </c>
      <c r="AT52" s="8">
        <f t="shared" si="60"/>
        <v>10</v>
      </c>
      <c r="AU52" s="13">
        <f>IF(OR(UPPER(TRIM(AC52))="AB", AC52=901, AC52="901"), 0, IF(ISNUMBER(MATCH(UPPER(TRIM(AC52)), {"A+","A","B+","B","C","D","P"}, 0)), 2, 0))</f>
        <v>2</v>
      </c>
      <c r="AV52" s="13">
        <f t="shared" si="61"/>
        <v>26</v>
      </c>
      <c r="AW52">
        <f t="shared" si="62"/>
        <v>26</v>
      </c>
      <c r="AX52" s="1">
        <f t="shared" si="7"/>
        <v>52</v>
      </c>
      <c r="AY52" s="13">
        <f t="shared" si="66"/>
        <v>303</v>
      </c>
    </row>
    <row r="53" spans="1:51">
      <c r="A53" s="7">
        <v>5341512</v>
      </c>
      <c r="B53" s="7"/>
      <c r="C53" s="33" t="s">
        <v>68</v>
      </c>
      <c r="D53" s="1" t="s">
        <v>47</v>
      </c>
      <c r="E53" s="3">
        <v>1</v>
      </c>
      <c r="F53" s="1" t="s">
        <v>48</v>
      </c>
      <c r="G53" s="1">
        <v>1461112</v>
      </c>
      <c r="H53" s="2" t="s">
        <v>53</v>
      </c>
      <c r="I53" s="5" t="s">
        <v>50</v>
      </c>
      <c r="J53" s="1">
        <v>14</v>
      </c>
      <c r="K53" s="13" t="str">
        <f t="shared" si="63"/>
        <v>P</v>
      </c>
      <c r="L53" s="1">
        <v>12</v>
      </c>
      <c r="M53" s="13" t="str">
        <f t="shared" si="64"/>
        <v>P</v>
      </c>
      <c r="AB53" s="7" t="str">
        <f t="shared" si="56"/>
        <v>26</v>
      </c>
      <c r="AC53" s="13" t="str">
        <f t="shared" si="57"/>
        <v>C</v>
      </c>
      <c r="AD53" s="13" t="str">
        <f t="shared" si="67"/>
        <v>303</v>
      </c>
      <c r="AE53" s="1">
        <v>550</v>
      </c>
      <c r="AF53" s="15">
        <f t="shared" si="65"/>
        <v>55.090909090909093</v>
      </c>
      <c r="AG53" s="13" t="str">
        <f t="shared" si="65"/>
        <v>PASS</v>
      </c>
      <c r="AI53" s="1">
        <v>22</v>
      </c>
      <c r="AJ53" s="15">
        <f t="shared" si="68"/>
        <v>22</v>
      </c>
      <c r="AK53" s="16">
        <f t="shared" si="68"/>
        <v>126</v>
      </c>
      <c r="AL53" s="7">
        <f t="shared" si="68"/>
        <v>5.73</v>
      </c>
      <c r="AR53" s="7" t="str">
        <f t="shared" si="58"/>
        <v>B</v>
      </c>
      <c r="AS53" s="8">
        <f t="shared" si="59"/>
        <v>5</v>
      </c>
      <c r="AT53" s="8">
        <f t="shared" si="60"/>
        <v>10</v>
      </c>
      <c r="AU53" s="13">
        <f>IF(OR(UPPER(TRIM(AC53))="AB", AC53=901, AC53="901"), 0, IF(ISNUMBER(MATCH(UPPER(TRIM(AC53)), {"A+","A","B+","B","C","D","P"}, 0)), 2, 0))</f>
        <v>2</v>
      </c>
      <c r="AV53" s="13">
        <f t="shared" si="61"/>
        <v>26</v>
      </c>
      <c r="AW53">
        <f t="shared" si="62"/>
        <v>26</v>
      </c>
      <c r="AX53" s="1">
        <f t="shared" si="7"/>
        <v>52</v>
      </c>
      <c r="AY53" s="13">
        <f t="shared" si="66"/>
        <v>303</v>
      </c>
    </row>
    <row r="54" spans="1:51">
      <c r="A54" s="7">
        <v>5341512</v>
      </c>
      <c r="B54" s="7"/>
      <c r="C54" s="33" t="s">
        <v>68</v>
      </c>
      <c r="D54" s="1" t="s">
        <v>47</v>
      </c>
      <c r="E54" s="3">
        <v>1</v>
      </c>
      <c r="F54" s="1" t="s">
        <v>48</v>
      </c>
      <c r="G54" s="1">
        <v>1461113</v>
      </c>
      <c r="H54" s="2" t="s">
        <v>54</v>
      </c>
      <c r="I54" s="5" t="s">
        <v>50</v>
      </c>
      <c r="J54" s="1">
        <v>19</v>
      </c>
      <c r="K54" s="13" t="str">
        <f t="shared" si="63"/>
        <v>P</v>
      </c>
      <c r="L54" s="1">
        <v>12</v>
      </c>
      <c r="M54" s="13" t="str">
        <f t="shared" si="64"/>
        <v>P</v>
      </c>
      <c r="AB54" s="7" t="str">
        <f t="shared" si="56"/>
        <v>31</v>
      </c>
      <c r="AC54" s="13" t="str">
        <f t="shared" si="57"/>
        <v>B+</v>
      </c>
      <c r="AD54" s="13" t="str">
        <f t="shared" si="67"/>
        <v>303</v>
      </c>
      <c r="AE54" s="1">
        <v>550</v>
      </c>
      <c r="AF54" s="15">
        <f t="shared" si="65"/>
        <v>55.090909090909093</v>
      </c>
      <c r="AG54" s="13" t="str">
        <f t="shared" si="65"/>
        <v>PASS</v>
      </c>
      <c r="AI54" s="1">
        <v>22</v>
      </c>
      <c r="AJ54" s="15">
        <f t="shared" si="68"/>
        <v>22</v>
      </c>
      <c r="AK54" s="16">
        <f t="shared" si="68"/>
        <v>126</v>
      </c>
      <c r="AL54" s="7">
        <f t="shared" si="68"/>
        <v>5.73</v>
      </c>
      <c r="AR54" s="7" t="str">
        <f t="shared" si="58"/>
        <v>B</v>
      </c>
      <c r="AS54" s="8">
        <f t="shared" si="59"/>
        <v>7</v>
      </c>
      <c r="AT54" s="8">
        <f t="shared" si="60"/>
        <v>14</v>
      </c>
      <c r="AU54" s="13">
        <f>IF(OR(UPPER(TRIM(AC54))="AB", AC54=901, AC54="901"), 0, IF(ISNUMBER(MATCH(UPPER(TRIM(AC54)), {"A+","A","B+","B","C","D","P"}, 0)), 2, 0))</f>
        <v>2</v>
      </c>
      <c r="AV54" s="13">
        <f t="shared" si="61"/>
        <v>31</v>
      </c>
      <c r="AW54">
        <f t="shared" si="62"/>
        <v>31</v>
      </c>
      <c r="AX54" s="1">
        <f t="shared" si="7"/>
        <v>62</v>
      </c>
      <c r="AY54" s="13">
        <f t="shared" si="66"/>
        <v>303</v>
      </c>
    </row>
    <row r="55" spans="1:51">
      <c r="A55" s="7">
        <v>5341512</v>
      </c>
      <c r="B55" s="7"/>
      <c r="C55" s="33" t="s">
        <v>68</v>
      </c>
      <c r="D55" s="1" t="s">
        <v>47</v>
      </c>
      <c r="E55" s="3">
        <v>1</v>
      </c>
      <c r="F55" s="1" t="s">
        <v>48</v>
      </c>
      <c r="G55" s="1">
        <v>1461411</v>
      </c>
      <c r="H55" s="2" t="s">
        <v>55</v>
      </c>
      <c r="I55" s="5" t="s">
        <v>50</v>
      </c>
      <c r="J55" s="1">
        <v>16</v>
      </c>
      <c r="K55" s="13" t="str">
        <f t="shared" si="63"/>
        <v>P</v>
      </c>
      <c r="L55" s="1">
        <v>12</v>
      </c>
      <c r="M55" s="13" t="str">
        <f t="shared" si="64"/>
        <v>P</v>
      </c>
      <c r="AB55" s="7" t="str">
        <f t="shared" si="56"/>
        <v>28</v>
      </c>
      <c r="AC55" s="13" t="str">
        <f t="shared" si="57"/>
        <v>B</v>
      </c>
      <c r="AD55" s="13" t="str">
        <f t="shared" si="67"/>
        <v>303</v>
      </c>
      <c r="AE55" s="1">
        <v>550</v>
      </c>
      <c r="AF55" s="15">
        <f t="shared" si="65"/>
        <v>55.090909090909093</v>
      </c>
      <c r="AG55" s="13" t="str">
        <f t="shared" si="65"/>
        <v>PASS</v>
      </c>
      <c r="AI55" s="1">
        <v>22</v>
      </c>
      <c r="AJ55" s="15">
        <f t="shared" si="68"/>
        <v>22</v>
      </c>
      <c r="AK55" s="16">
        <f t="shared" si="68"/>
        <v>126</v>
      </c>
      <c r="AL55" s="7">
        <f t="shared" si="68"/>
        <v>5.73</v>
      </c>
      <c r="AR55" s="7" t="str">
        <f t="shared" si="58"/>
        <v>B</v>
      </c>
      <c r="AS55" s="8">
        <f t="shared" si="59"/>
        <v>6</v>
      </c>
      <c r="AT55" s="8">
        <f t="shared" si="60"/>
        <v>12</v>
      </c>
      <c r="AU55" s="13">
        <f>IF(OR(UPPER(TRIM(AC55))="AB", AC55=901, AC55="901"), 0, IF(ISNUMBER(MATCH(UPPER(TRIM(AC55)), {"A+","A","B+","B","C","D","P"}, 0)), 2, 0))</f>
        <v>2</v>
      </c>
      <c r="AV55" s="13">
        <f t="shared" si="61"/>
        <v>28</v>
      </c>
      <c r="AW55">
        <f t="shared" si="62"/>
        <v>28</v>
      </c>
      <c r="AX55" s="1">
        <f t="shared" si="7"/>
        <v>56.000000000000007</v>
      </c>
      <c r="AY55" s="13">
        <f t="shared" si="66"/>
        <v>303</v>
      </c>
    </row>
    <row r="56" spans="1:51">
      <c r="A56" s="7">
        <v>5341512</v>
      </c>
      <c r="B56" s="7"/>
      <c r="C56" s="33" t="s">
        <v>68</v>
      </c>
      <c r="D56" s="1" t="s">
        <v>47</v>
      </c>
      <c r="E56" s="3">
        <v>1</v>
      </c>
      <c r="F56" s="1" t="s">
        <v>48</v>
      </c>
      <c r="G56" s="1">
        <v>1461412</v>
      </c>
      <c r="H56" s="2" t="s">
        <v>56</v>
      </c>
      <c r="I56" s="5" t="s">
        <v>50</v>
      </c>
      <c r="J56" s="1">
        <v>14</v>
      </c>
      <c r="K56" s="13" t="str">
        <f t="shared" si="63"/>
        <v>P</v>
      </c>
      <c r="L56" s="1">
        <v>13</v>
      </c>
      <c r="M56" s="13" t="str">
        <f t="shared" si="64"/>
        <v>P</v>
      </c>
      <c r="AB56" s="7" t="str">
        <f t="shared" si="56"/>
        <v>27</v>
      </c>
      <c r="AC56" s="13" t="str">
        <f t="shared" si="57"/>
        <v>C</v>
      </c>
      <c r="AD56" s="13" t="str">
        <f t="shared" si="67"/>
        <v>303</v>
      </c>
      <c r="AE56" s="1">
        <v>550</v>
      </c>
      <c r="AF56" s="15">
        <f t="shared" si="65"/>
        <v>55.090909090909093</v>
      </c>
      <c r="AG56" s="13" t="str">
        <f t="shared" si="65"/>
        <v>PASS</v>
      </c>
      <c r="AI56" s="1">
        <v>22</v>
      </c>
      <c r="AJ56" s="15">
        <f t="shared" si="68"/>
        <v>22</v>
      </c>
      <c r="AK56" s="16">
        <f t="shared" si="68"/>
        <v>126</v>
      </c>
      <c r="AL56" s="7">
        <f t="shared" si="68"/>
        <v>5.73</v>
      </c>
      <c r="AR56" s="7" t="str">
        <f t="shared" si="58"/>
        <v>B</v>
      </c>
      <c r="AS56" s="8">
        <f t="shared" si="59"/>
        <v>5</v>
      </c>
      <c r="AT56" s="8">
        <f t="shared" si="60"/>
        <v>10</v>
      </c>
      <c r="AU56" s="13">
        <f>IF(OR(UPPER(TRIM(AC56))="AB", AC56=901, AC56="901"), 0, IF(ISNUMBER(MATCH(UPPER(TRIM(AC56)), {"A+","A","B+","B","C","D","P"}, 0)), 2, 0))</f>
        <v>2</v>
      </c>
      <c r="AV56" s="13">
        <f t="shared" si="61"/>
        <v>27</v>
      </c>
      <c r="AW56">
        <f t="shared" si="62"/>
        <v>27</v>
      </c>
      <c r="AX56" s="1">
        <f t="shared" si="7"/>
        <v>54</v>
      </c>
      <c r="AY56" s="13">
        <f t="shared" si="66"/>
        <v>303</v>
      </c>
    </row>
    <row r="57" spans="1:51">
      <c r="A57" s="7">
        <v>5341512</v>
      </c>
      <c r="B57" s="7"/>
      <c r="C57" s="33" t="s">
        <v>68</v>
      </c>
      <c r="D57" s="1" t="s">
        <v>47</v>
      </c>
      <c r="E57" s="3">
        <v>1</v>
      </c>
      <c r="F57" s="1" t="s">
        <v>48</v>
      </c>
      <c r="G57" s="1">
        <v>2511515</v>
      </c>
      <c r="H57" s="2" t="s">
        <v>57</v>
      </c>
      <c r="I57" s="5" t="s">
        <v>50</v>
      </c>
      <c r="J57" s="1">
        <v>14</v>
      </c>
      <c r="K57" s="13" t="str">
        <f t="shared" si="63"/>
        <v>P</v>
      </c>
      <c r="L57" s="1">
        <v>12</v>
      </c>
      <c r="M57" s="13" t="str">
        <f t="shared" si="64"/>
        <v>P</v>
      </c>
      <c r="AB57" s="7" t="str">
        <f t="shared" si="56"/>
        <v>26</v>
      </c>
      <c r="AC57" s="13" t="str">
        <f t="shared" si="57"/>
        <v>C</v>
      </c>
      <c r="AD57" s="13" t="str">
        <f t="shared" si="67"/>
        <v>303</v>
      </c>
      <c r="AE57" s="1">
        <v>550</v>
      </c>
      <c r="AF57" s="15">
        <f t="shared" si="65"/>
        <v>55.090909090909093</v>
      </c>
      <c r="AG57" s="13" t="str">
        <f t="shared" si="65"/>
        <v>PASS</v>
      </c>
      <c r="AI57" s="1">
        <v>22</v>
      </c>
      <c r="AJ57" s="15">
        <f t="shared" si="68"/>
        <v>22</v>
      </c>
      <c r="AK57" s="16">
        <f t="shared" si="68"/>
        <v>126</v>
      </c>
      <c r="AL57" s="7">
        <f t="shared" si="68"/>
        <v>5.73</v>
      </c>
      <c r="AR57" s="7" t="str">
        <f t="shared" si="58"/>
        <v>B</v>
      </c>
      <c r="AS57" s="8">
        <f t="shared" si="59"/>
        <v>5</v>
      </c>
      <c r="AT57" s="8">
        <f t="shared" si="60"/>
        <v>10</v>
      </c>
      <c r="AU57" s="13">
        <f>IF(OR(UPPER(TRIM(AC57))="AB", AC57=901, AC57="901"), 0, IF(ISNUMBER(MATCH(UPPER(TRIM(AC57)), {"A+","A","B+","B","C","D","P"}, 0)), 2, 0))</f>
        <v>2</v>
      </c>
      <c r="AV57" s="13">
        <f t="shared" si="61"/>
        <v>26</v>
      </c>
      <c r="AW57">
        <f t="shared" si="62"/>
        <v>26</v>
      </c>
      <c r="AX57" s="1">
        <f t="shared" si="7"/>
        <v>52</v>
      </c>
      <c r="AY57" s="13">
        <f t="shared" si="66"/>
        <v>303</v>
      </c>
    </row>
    <row r="58" spans="1:51">
      <c r="A58" s="7">
        <v>5341512</v>
      </c>
      <c r="B58" s="7"/>
      <c r="C58" s="33" t="s">
        <v>68</v>
      </c>
      <c r="D58" s="1" t="s">
        <v>47</v>
      </c>
      <c r="E58" s="3">
        <v>1</v>
      </c>
      <c r="F58" s="1" t="s">
        <v>48</v>
      </c>
      <c r="G58" s="1">
        <v>2521615</v>
      </c>
      <c r="H58" s="4" t="s">
        <v>58</v>
      </c>
      <c r="I58" s="5" t="s">
        <v>50</v>
      </c>
      <c r="J58" s="1">
        <v>19</v>
      </c>
      <c r="K58" s="13" t="str">
        <f t="shared" si="63"/>
        <v>P</v>
      </c>
      <c r="L58" s="1">
        <v>12</v>
      </c>
      <c r="M58" s="13" t="str">
        <f t="shared" si="64"/>
        <v>P</v>
      </c>
      <c r="AB58" s="7" t="str">
        <f t="shared" si="56"/>
        <v>31</v>
      </c>
      <c r="AC58" s="13" t="str">
        <f t="shared" si="57"/>
        <v>B+</v>
      </c>
      <c r="AD58" s="13" t="str">
        <f t="shared" si="67"/>
        <v>303</v>
      </c>
      <c r="AE58" s="1">
        <v>550</v>
      </c>
      <c r="AF58" s="15">
        <f t="shared" si="65"/>
        <v>55.090909090909093</v>
      </c>
      <c r="AG58" s="13" t="str">
        <f t="shared" si="65"/>
        <v>PASS</v>
      </c>
      <c r="AI58" s="1">
        <v>22</v>
      </c>
      <c r="AJ58" s="15">
        <f t="shared" si="68"/>
        <v>22</v>
      </c>
      <c r="AK58" s="16">
        <f t="shared" si="68"/>
        <v>126</v>
      </c>
      <c r="AL58" s="7">
        <f t="shared" si="68"/>
        <v>5.73</v>
      </c>
      <c r="AR58" s="7" t="str">
        <f t="shared" si="58"/>
        <v>B</v>
      </c>
      <c r="AS58" s="8">
        <f t="shared" si="59"/>
        <v>7</v>
      </c>
      <c r="AT58" s="8">
        <f t="shared" si="60"/>
        <v>14</v>
      </c>
      <c r="AU58" s="13">
        <f>IF(OR(UPPER(TRIM(AC58))="AB", AC58=901, AC58="901"), 0, IF(ISNUMBER(MATCH(UPPER(TRIM(AC58)), {"A+","A","B+","B","C","D","P"}, 0)), 2, 0))</f>
        <v>2</v>
      </c>
      <c r="AV58" s="13">
        <f t="shared" si="61"/>
        <v>31</v>
      </c>
      <c r="AW58">
        <f t="shared" si="62"/>
        <v>31</v>
      </c>
      <c r="AX58" s="1">
        <f t="shared" si="7"/>
        <v>62</v>
      </c>
      <c r="AY58" s="13">
        <f t="shared" si="66"/>
        <v>303</v>
      </c>
    </row>
    <row r="59" spans="1:51">
      <c r="A59" s="7">
        <v>5341512</v>
      </c>
      <c r="B59" s="7"/>
      <c r="C59" s="33" t="s">
        <v>68</v>
      </c>
      <c r="D59" s="1" t="s">
        <v>47</v>
      </c>
      <c r="E59" s="3">
        <v>1</v>
      </c>
      <c r="F59" s="1" t="s">
        <v>48</v>
      </c>
      <c r="G59" s="1">
        <v>2531511</v>
      </c>
      <c r="H59" s="2" t="s">
        <v>59</v>
      </c>
      <c r="I59" s="5" t="s">
        <v>50</v>
      </c>
      <c r="J59" s="1">
        <v>16</v>
      </c>
      <c r="K59" s="13" t="str">
        <f t="shared" si="63"/>
        <v>P</v>
      </c>
      <c r="L59" s="1">
        <v>12</v>
      </c>
      <c r="M59" s="13" t="str">
        <f t="shared" si="64"/>
        <v>P</v>
      </c>
      <c r="AB59" s="7" t="str">
        <f t="shared" si="56"/>
        <v>28</v>
      </c>
      <c r="AC59" s="13" t="str">
        <f t="shared" si="57"/>
        <v>B</v>
      </c>
      <c r="AD59" s="13" t="str">
        <f t="shared" si="67"/>
        <v>303</v>
      </c>
      <c r="AE59" s="1">
        <v>550</v>
      </c>
      <c r="AF59" s="15">
        <f t="shared" si="65"/>
        <v>55.090909090909093</v>
      </c>
      <c r="AG59" s="13" t="str">
        <f t="shared" si="65"/>
        <v>PASS</v>
      </c>
      <c r="AI59" s="1">
        <v>22</v>
      </c>
      <c r="AJ59" s="15">
        <f t="shared" si="68"/>
        <v>22</v>
      </c>
      <c r="AK59" s="16">
        <f t="shared" si="68"/>
        <v>126</v>
      </c>
      <c r="AL59" s="7">
        <f t="shared" si="68"/>
        <v>5.73</v>
      </c>
      <c r="AR59" s="7" t="str">
        <f t="shared" si="58"/>
        <v>B</v>
      </c>
      <c r="AS59" s="8">
        <f t="shared" si="59"/>
        <v>6</v>
      </c>
      <c r="AT59" s="8">
        <f t="shared" si="60"/>
        <v>12</v>
      </c>
      <c r="AU59" s="13">
        <f>IF(OR(UPPER(TRIM(AC59))="AB", AC59=901, AC59="901"), 0, IF(ISNUMBER(MATCH(UPPER(TRIM(AC59)), {"A+","A","B+","B","C","D","P"}, 0)), 2, 0))</f>
        <v>2</v>
      </c>
      <c r="AV59" s="13">
        <f t="shared" si="61"/>
        <v>28</v>
      </c>
      <c r="AW59">
        <f t="shared" si="62"/>
        <v>28</v>
      </c>
      <c r="AX59" s="1">
        <f t="shared" si="7"/>
        <v>56.000000000000007</v>
      </c>
      <c r="AY59" s="13">
        <f t="shared" si="66"/>
        <v>303</v>
      </c>
    </row>
    <row r="60" spans="1:51">
      <c r="A60" s="7">
        <v>5341512</v>
      </c>
      <c r="B60" s="7"/>
      <c r="C60" s="33" t="s">
        <v>68</v>
      </c>
      <c r="D60" s="1" t="s">
        <v>47</v>
      </c>
      <c r="E60" s="3">
        <v>1</v>
      </c>
      <c r="F60" s="1" t="s">
        <v>48</v>
      </c>
      <c r="G60" s="1">
        <v>2541515</v>
      </c>
      <c r="H60" s="2" t="s">
        <v>60</v>
      </c>
      <c r="I60" s="5" t="s">
        <v>50</v>
      </c>
      <c r="J60" s="1">
        <v>15</v>
      </c>
      <c r="K60" s="13" t="str">
        <f t="shared" si="63"/>
        <v>P</v>
      </c>
      <c r="L60" s="6">
        <v>13</v>
      </c>
      <c r="M60" s="13" t="str">
        <f t="shared" si="64"/>
        <v>P</v>
      </c>
      <c r="AB60" s="7" t="str">
        <f t="shared" si="56"/>
        <v>28</v>
      </c>
      <c r="AC60" s="13" t="str">
        <f t="shared" si="57"/>
        <v>B</v>
      </c>
      <c r="AD60" s="13" t="str">
        <f t="shared" si="67"/>
        <v>303</v>
      </c>
      <c r="AE60" s="1">
        <v>550</v>
      </c>
      <c r="AF60" s="15">
        <f t="shared" si="65"/>
        <v>55.090909090909093</v>
      </c>
      <c r="AG60" s="13" t="str">
        <f t="shared" si="65"/>
        <v>PASS</v>
      </c>
      <c r="AI60" s="1">
        <v>22</v>
      </c>
      <c r="AJ60" s="15">
        <f t="shared" si="68"/>
        <v>22</v>
      </c>
      <c r="AK60" s="16">
        <f t="shared" si="68"/>
        <v>126</v>
      </c>
      <c r="AL60" s="7">
        <f t="shared" si="68"/>
        <v>5.73</v>
      </c>
      <c r="AR60" s="7" t="str">
        <f t="shared" si="58"/>
        <v>B</v>
      </c>
      <c r="AS60" s="8">
        <f t="shared" si="59"/>
        <v>6</v>
      </c>
      <c r="AT60" s="8">
        <f t="shared" si="60"/>
        <v>12</v>
      </c>
      <c r="AU60" s="13">
        <f>IF(OR(UPPER(TRIM(AC60))="AB", AC60=901, AC60="901"), 0, IF(ISNUMBER(MATCH(UPPER(TRIM(AC60)), {"A+","A","B+","B","C","D","P"}, 0)), 2, 0))</f>
        <v>2</v>
      </c>
      <c r="AV60" s="13">
        <f t="shared" si="61"/>
        <v>28</v>
      </c>
      <c r="AW60">
        <f t="shared" si="62"/>
        <v>28</v>
      </c>
      <c r="AX60" s="1">
        <f t="shared" si="7"/>
        <v>56.000000000000007</v>
      </c>
      <c r="AY60" s="13">
        <f t="shared" si="66"/>
        <v>303</v>
      </c>
    </row>
    <row r="62" spans="1:51" s="19" customFormat="1">
      <c r="A62" s="14">
        <v>5240408</v>
      </c>
      <c r="B62" s="14"/>
      <c r="C62" s="34" t="s">
        <v>69</v>
      </c>
      <c r="D62" s="18" t="s">
        <v>47</v>
      </c>
      <c r="E62" s="20">
        <v>1</v>
      </c>
      <c r="F62" s="18" t="s">
        <v>48</v>
      </c>
      <c r="G62" s="18">
        <v>1011312</v>
      </c>
      <c r="H62" s="21" t="s">
        <v>49</v>
      </c>
      <c r="I62" s="22" t="s">
        <v>50</v>
      </c>
      <c r="J62" s="23">
        <v>18</v>
      </c>
      <c r="K62" s="24" t="str">
        <f>IF(OR(UPPER(TRIM(J62))="AB",J62=901,J62="901"),"F",IF(J62&gt;=8,"P","F"))</f>
        <v>P</v>
      </c>
      <c r="L62" s="18">
        <v>24</v>
      </c>
      <c r="M62" s="24" t="str">
        <f>IF(OR(UPPER(TRIM(L62))="AB",L62=901,L62="901"),"F",IF(L62&gt;=8,"P","F"))</f>
        <v>P</v>
      </c>
      <c r="N62" s="24"/>
      <c r="O62" s="24"/>
      <c r="P62" s="24"/>
      <c r="Q62" s="24"/>
      <c r="R62" s="24"/>
      <c r="S62" s="24"/>
      <c r="T62" s="24"/>
      <c r="U62" s="24"/>
      <c r="V62" s="24"/>
      <c r="W62" s="24"/>
      <c r="X62" s="24"/>
      <c r="Y62" s="24"/>
      <c r="Z62" s="24"/>
      <c r="AA62" s="14"/>
      <c r="AB62" s="14" t="str">
        <f t="shared" ref="AB62:AB72" si="69">AV62 &amp; IF(AA62&lt;&gt;"", " @ " &amp; AA62, "")</f>
        <v>42</v>
      </c>
      <c r="AC62" s="24" t="str">
        <f t="shared" ref="AC62:AC72" si="70">IF(AX62&gt;=90,"O",
IF(AX62&gt;=80,"A+",
IF(AX62&gt;=70,"A",
IF(AX62&gt;=60,"B+",
IF(AX62&gt;=55,"B",
IF(AX62&gt;=50,"C",
IF(AX62&gt;=40,"D","F")))))))</f>
        <v>A+</v>
      </c>
      <c r="AD62" s="24" t="str">
        <f>SUM(AV62:AV72) &amp; IF(SUM(AA62:AA72)&gt;0, " @ " &amp; SUM(AA62:AA72), "")</f>
        <v>321</v>
      </c>
      <c r="AE62" s="18">
        <v>550</v>
      </c>
      <c r="AF62" s="25">
        <f>AY62/AE62*100</f>
        <v>58.36363636363636</v>
      </c>
      <c r="AG62" s="24" t="str" cm="1">
        <f t="array" ref="AG62">IF(
  SUMPRODUCT(--(IFERROR(VALUE(J62:J72),9999)&lt;8))
  + SUMPRODUCT(--(IFERROR(VALUE(L62:L72),9999)&lt;12))
  + COUNTIF(J62:J72,"AB") + COUNTIF(L62:L72,"AB")
  + COUNTIF(J62:J72,901) + COUNTIF(L62:L72,901) &gt; 0,
  "ATKT",
  "PASS"
)</f>
        <v>PASS</v>
      </c>
      <c r="AH62" s="26"/>
      <c r="AI62" s="18">
        <v>22</v>
      </c>
      <c r="AJ62" s="25">
        <f>SUM(AU62:AU72)</f>
        <v>22</v>
      </c>
      <c r="AK62" s="27">
        <f>SUM(AT62:AT72)</f>
        <v>132</v>
      </c>
      <c r="AL62" s="14">
        <f>IF(UPPER(TRIM(AG62))="ATKT",0,ROUND( (SUM(AT62:AT72) /22), 2))</f>
        <v>6</v>
      </c>
      <c r="AM62" s="20"/>
      <c r="AN62" s="20"/>
      <c r="AO62" s="20"/>
      <c r="AP62" s="20"/>
      <c r="AQ62" s="18"/>
      <c r="AR62" s="14" t="str">
        <f t="shared" ref="AR62:AR72" si="71">IF(AL62&gt;=9,"O", IF(AL62&gt;=8,"A+", IF(AL62&gt;=7,"A", IF(AL62&gt;=6,"B+", IF(AL62&gt;=5.5,"B", IF(AL62&gt;=5,"C", IF(AL62&gt;=4,"D","F")))))))</f>
        <v>B+</v>
      </c>
      <c r="AS62" s="28">
        <f t="shared" ref="AS62:AS72" si="72">IF(AX62&gt;=90,10,
IF(AX62&gt;=80,9,
IF(AX62&gt;=70,8,
IF(AX62&gt;=60,7,
IF(AX62&gt;=55,6,
IF(AX62&gt;=50,5,
IF(AX62&gt;=40,4,0)))))))</f>
        <v>9</v>
      </c>
      <c r="AT62" s="28">
        <f t="shared" ref="AT62:AT72" si="73">AS62*I62</f>
        <v>18</v>
      </c>
      <c r="AU62" s="24">
        <f>IF(OR(UPPER(TRIM(AC62))="AB", AC62=901, AC62="901"), 0, IF(ISNUMBER(MATCH(UPPER(TRIM(AC62)), {"A+","A","B+","B","C","D","P"}, 0)), 2, 0))</f>
        <v>2</v>
      </c>
      <c r="AV62" s="24">
        <f t="shared" ref="AV62:AV72" si="74">SUM(
IF(OR(UPPER(TRIM(J62))="AB",J62=901,J62="901"),0,IFERROR(VALUE(J62),0)),
IF(OR(UPPER(TRIM(L62))="AB",L62=901,L62="901"),0,IFERROR(VALUE(L62),0)),
IF(OR(UPPER(TRIM(N62))="AB",N62=901,N62="901"),0,IFERROR(VALUE(N62),0))
)</f>
        <v>42</v>
      </c>
      <c r="AW62" s="19">
        <f t="shared" ref="AW62:AW72" si="75">AA62+AV62</f>
        <v>42</v>
      </c>
      <c r="AX62" s="18">
        <f t="shared" si="7"/>
        <v>84</v>
      </c>
      <c r="AY62" s="24">
        <f>SUM(AW62:AW72)</f>
        <v>321</v>
      </c>
    </row>
    <row r="63" spans="1:51">
      <c r="A63" s="14">
        <v>5240408</v>
      </c>
      <c r="B63" s="7"/>
      <c r="C63" s="33" t="s">
        <v>69</v>
      </c>
      <c r="D63" s="1" t="s">
        <v>47</v>
      </c>
      <c r="E63" s="3">
        <v>1</v>
      </c>
      <c r="F63" s="1" t="s">
        <v>48</v>
      </c>
      <c r="G63" s="1">
        <v>1171312</v>
      </c>
      <c r="H63" s="2" t="s">
        <v>51</v>
      </c>
      <c r="I63" s="5" t="s">
        <v>50</v>
      </c>
      <c r="J63" s="1">
        <v>18</v>
      </c>
      <c r="K63" s="13" t="str">
        <f t="shared" ref="K63:K72" si="76">IF(OR(UPPER(TRIM(J63))="AB",J63=901,J63="901"),"F",IF(J63&gt;=8,"P","F"))</f>
        <v>P</v>
      </c>
      <c r="L63" s="1">
        <v>12</v>
      </c>
      <c r="M63" s="13" t="str">
        <f t="shared" ref="M63:M72" si="77">IF(OR(UPPER(TRIM(L63))="AB",L63=901,L63="901"),"F",IF(L63&gt;=8,"P","F"))</f>
        <v>P</v>
      </c>
      <c r="AB63" s="7" t="str">
        <f t="shared" si="69"/>
        <v>30</v>
      </c>
      <c r="AC63" s="13" t="str">
        <f t="shared" si="70"/>
        <v>B+</v>
      </c>
      <c r="AD63" s="13" t="str">
        <f>AD62</f>
        <v>321</v>
      </c>
      <c r="AE63" s="1">
        <v>550</v>
      </c>
      <c r="AF63" s="15">
        <f t="shared" ref="AF63:AG72" si="78">AF62</f>
        <v>58.36363636363636</v>
      </c>
      <c r="AG63" s="13" t="str">
        <f t="shared" si="78"/>
        <v>PASS</v>
      </c>
      <c r="AI63" s="1">
        <v>22</v>
      </c>
      <c r="AJ63" s="15">
        <f>AJ62</f>
        <v>22</v>
      </c>
      <c r="AK63" s="16">
        <f>AK62</f>
        <v>132</v>
      </c>
      <c r="AL63" s="7">
        <f>AL62</f>
        <v>6</v>
      </c>
      <c r="AR63" s="7" t="str">
        <f t="shared" si="71"/>
        <v>B+</v>
      </c>
      <c r="AS63" s="8">
        <f t="shared" si="72"/>
        <v>7</v>
      </c>
      <c r="AT63" s="8">
        <f t="shared" si="73"/>
        <v>14</v>
      </c>
      <c r="AU63" s="13">
        <f>IF(OR(UPPER(TRIM(AC63))="AB", AC63=901, AC63="901"), 0, IF(ISNUMBER(MATCH(UPPER(TRIM(AC63)), {"A+","A","B+","B","C","D","P"}, 0)), 2, 0))</f>
        <v>2</v>
      </c>
      <c r="AV63" s="13">
        <f t="shared" si="74"/>
        <v>30</v>
      </c>
      <c r="AW63">
        <f t="shared" si="75"/>
        <v>30</v>
      </c>
      <c r="AX63" s="1">
        <f t="shared" si="7"/>
        <v>60</v>
      </c>
      <c r="AY63" s="13">
        <f t="shared" ref="AY63:AY72" si="79">AY62</f>
        <v>321</v>
      </c>
    </row>
    <row r="64" spans="1:51">
      <c r="A64" s="14">
        <v>5240408</v>
      </c>
      <c r="B64" s="7"/>
      <c r="C64" s="33" t="s">
        <v>69</v>
      </c>
      <c r="D64" s="1" t="s">
        <v>47</v>
      </c>
      <c r="E64" s="3">
        <v>1</v>
      </c>
      <c r="F64" s="1" t="s">
        <v>48</v>
      </c>
      <c r="G64" s="1">
        <v>1461111</v>
      </c>
      <c r="H64" s="2" t="s">
        <v>52</v>
      </c>
      <c r="I64" s="5" t="s">
        <v>50</v>
      </c>
      <c r="J64" s="1">
        <v>12</v>
      </c>
      <c r="K64" s="13" t="str">
        <f t="shared" si="76"/>
        <v>P</v>
      </c>
      <c r="L64" s="1">
        <v>12</v>
      </c>
      <c r="M64" s="13" t="str">
        <f t="shared" si="77"/>
        <v>P</v>
      </c>
      <c r="AB64" s="7" t="str">
        <f t="shared" si="69"/>
        <v>24</v>
      </c>
      <c r="AC64" s="13" t="str">
        <f t="shared" si="70"/>
        <v>D</v>
      </c>
      <c r="AD64" s="13" t="str">
        <f t="shared" ref="AD64:AD72" si="80">AD63</f>
        <v>321</v>
      </c>
      <c r="AE64" s="1">
        <v>550</v>
      </c>
      <c r="AF64" s="15">
        <f t="shared" si="78"/>
        <v>58.36363636363636</v>
      </c>
      <c r="AG64" s="13" t="str">
        <f t="shared" si="78"/>
        <v>PASS</v>
      </c>
      <c r="AI64" s="1">
        <v>22</v>
      </c>
      <c r="AJ64" s="15">
        <f t="shared" ref="AJ64:AL72" si="81">AJ63</f>
        <v>22</v>
      </c>
      <c r="AK64" s="16">
        <f t="shared" si="81"/>
        <v>132</v>
      </c>
      <c r="AL64" s="7">
        <f t="shared" si="81"/>
        <v>6</v>
      </c>
      <c r="AR64" s="7" t="str">
        <f t="shared" si="71"/>
        <v>B+</v>
      </c>
      <c r="AS64" s="8">
        <f t="shared" si="72"/>
        <v>4</v>
      </c>
      <c r="AT64" s="8">
        <f t="shared" si="73"/>
        <v>8</v>
      </c>
      <c r="AU64" s="13">
        <f>IF(OR(UPPER(TRIM(AC64))="AB", AC64=901, AC64="901"), 0, IF(ISNUMBER(MATCH(UPPER(TRIM(AC64)), {"A+","A","B+","B","C","D","P"}, 0)), 2, 0))</f>
        <v>2</v>
      </c>
      <c r="AV64" s="13">
        <f t="shared" si="74"/>
        <v>24</v>
      </c>
      <c r="AW64">
        <f t="shared" si="75"/>
        <v>24</v>
      </c>
      <c r="AX64" s="1">
        <f t="shared" si="7"/>
        <v>48</v>
      </c>
      <c r="AY64" s="13">
        <f t="shared" si="79"/>
        <v>321</v>
      </c>
    </row>
    <row r="65" spans="1:51">
      <c r="A65" s="14">
        <v>5240408</v>
      </c>
      <c r="B65" s="7"/>
      <c r="C65" s="33" t="s">
        <v>69</v>
      </c>
      <c r="D65" s="1" t="s">
        <v>47</v>
      </c>
      <c r="E65" s="3">
        <v>1</v>
      </c>
      <c r="F65" s="1" t="s">
        <v>48</v>
      </c>
      <c r="G65" s="1">
        <v>1461112</v>
      </c>
      <c r="H65" s="2" t="s">
        <v>53</v>
      </c>
      <c r="I65" s="5" t="s">
        <v>50</v>
      </c>
      <c r="J65" s="1">
        <v>12</v>
      </c>
      <c r="K65" s="13" t="str">
        <f t="shared" si="76"/>
        <v>P</v>
      </c>
      <c r="L65" s="1">
        <v>12</v>
      </c>
      <c r="M65" s="13" t="str">
        <f t="shared" si="77"/>
        <v>P</v>
      </c>
      <c r="AB65" s="7" t="str">
        <f t="shared" si="69"/>
        <v>24</v>
      </c>
      <c r="AC65" s="13" t="str">
        <f t="shared" si="70"/>
        <v>D</v>
      </c>
      <c r="AD65" s="13" t="str">
        <f t="shared" si="80"/>
        <v>321</v>
      </c>
      <c r="AE65" s="1">
        <v>550</v>
      </c>
      <c r="AF65" s="15">
        <f t="shared" si="78"/>
        <v>58.36363636363636</v>
      </c>
      <c r="AG65" s="13" t="str">
        <f t="shared" si="78"/>
        <v>PASS</v>
      </c>
      <c r="AI65" s="1">
        <v>22</v>
      </c>
      <c r="AJ65" s="15">
        <f t="shared" si="81"/>
        <v>22</v>
      </c>
      <c r="AK65" s="16">
        <f t="shared" si="81"/>
        <v>132</v>
      </c>
      <c r="AL65" s="7">
        <f t="shared" si="81"/>
        <v>6</v>
      </c>
      <c r="AR65" s="7" t="str">
        <f t="shared" si="71"/>
        <v>B+</v>
      </c>
      <c r="AS65" s="8">
        <f t="shared" si="72"/>
        <v>4</v>
      </c>
      <c r="AT65" s="8">
        <f t="shared" si="73"/>
        <v>8</v>
      </c>
      <c r="AU65" s="13">
        <f>IF(OR(UPPER(TRIM(AC65))="AB", AC65=901, AC65="901"), 0, IF(ISNUMBER(MATCH(UPPER(TRIM(AC65)), {"A+","A","B+","B","C","D","P"}, 0)), 2, 0))</f>
        <v>2</v>
      </c>
      <c r="AV65" s="13">
        <f t="shared" si="74"/>
        <v>24</v>
      </c>
      <c r="AW65">
        <f t="shared" si="75"/>
        <v>24</v>
      </c>
      <c r="AX65" s="1">
        <f t="shared" si="7"/>
        <v>48</v>
      </c>
      <c r="AY65" s="13">
        <f t="shared" si="79"/>
        <v>321</v>
      </c>
    </row>
    <row r="66" spans="1:51">
      <c r="A66" s="14">
        <v>5240408</v>
      </c>
      <c r="B66" s="7"/>
      <c r="C66" s="33" t="s">
        <v>69</v>
      </c>
      <c r="D66" s="1" t="s">
        <v>47</v>
      </c>
      <c r="E66" s="3">
        <v>1</v>
      </c>
      <c r="F66" s="1" t="s">
        <v>48</v>
      </c>
      <c r="G66" s="1">
        <v>1461113</v>
      </c>
      <c r="H66" s="2" t="s">
        <v>54</v>
      </c>
      <c r="I66" s="5" t="s">
        <v>50</v>
      </c>
      <c r="J66" s="1">
        <v>19</v>
      </c>
      <c r="K66" s="13" t="str">
        <f t="shared" si="76"/>
        <v>P</v>
      </c>
      <c r="L66" s="1">
        <v>12</v>
      </c>
      <c r="M66" s="13" t="str">
        <f t="shared" si="77"/>
        <v>P</v>
      </c>
      <c r="AB66" s="7" t="str">
        <f t="shared" si="69"/>
        <v>31</v>
      </c>
      <c r="AC66" s="13" t="str">
        <f t="shared" si="70"/>
        <v>B+</v>
      </c>
      <c r="AD66" s="13" t="str">
        <f t="shared" si="80"/>
        <v>321</v>
      </c>
      <c r="AE66" s="1">
        <v>550</v>
      </c>
      <c r="AF66" s="15">
        <f t="shared" si="78"/>
        <v>58.36363636363636</v>
      </c>
      <c r="AG66" s="13" t="str">
        <f t="shared" si="78"/>
        <v>PASS</v>
      </c>
      <c r="AI66" s="1">
        <v>22</v>
      </c>
      <c r="AJ66" s="15">
        <f t="shared" si="81"/>
        <v>22</v>
      </c>
      <c r="AK66" s="16">
        <f t="shared" si="81"/>
        <v>132</v>
      </c>
      <c r="AL66" s="7">
        <f t="shared" si="81"/>
        <v>6</v>
      </c>
      <c r="AR66" s="7" t="str">
        <f t="shared" si="71"/>
        <v>B+</v>
      </c>
      <c r="AS66" s="8">
        <f t="shared" si="72"/>
        <v>7</v>
      </c>
      <c r="AT66" s="8">
        <f t="shared" si="73"/>
        <v>14</v>
      </c>
      <c r="AU66" s="13">
        <f>IF(OR(UPPER(TRIM(AC66))="AB", AC66=901, AC66="901"), 0, IF(ISNUMBER(MATCH(UPPER(TRIM(AC66)), {"A+","A","B+","B","C","D","P"}, 0)), 2, 0))</f>
        <v>2</v>
      </c>
      <c r="AV66" s="13">
        <f t="shared" si="74"/>
        <v>31</v>
      </c>
      <c r="AW66">
        <f t="shared" si="75"/>
        <v>31</v>
      </c>
      <c r="AX66" s="1">
        <f t="shared" ref="AX66:AX72" si="82">(AW66 / 50) * 100</f>
        <v>62</v>
      </c>
      <c r="AY66" s="13">
        <f t="shared" si="79"/>
        <v>321</v>
      </c>
    </row>
    <row r="67" spans="1:51">
      <c r="A67" s="14">
        <v>5240408</v>
      </c>
      <c r="B67" s="7"/>
      <c r="C67" s="33" t="s">
        <v>69</v>
      </c>
      <c r="D67" s="1" t="s">
        <v>47</v>
      </c>
      <c r="E67" s="3">
        <v>1</v>
      </c>
      <c r="F67" s="1" t="s">
        <v>48</v>
      </c>
      <c r="G67" s="1">
        <v>1461411</v>
      </c>
      <c r="H67" s="2" t="s">
        <v>55</v>
      </c>
      <c r="I67" s="5" t="s">
        <v>50</v>
      </c>
      <c r="J67" s="1">
        <v>18</v>
      </c>
      <c r="K67" s="13" t="str">
        <f t="shared" si="76"/>
        <v>P</v>
      </c>
      <c r="L67" s="1">
        <v>13</v>
      </c>
      <c r="M67" s="13" t="str">
        <f t="shared" si="77"/>
        <v>P</v>
      </c>
      <c r="AB67" s="7" t="str">
        <f t="shared" si="69"/>
        <v>31</v>
      </c>
      <c r="AC67" s="13" t="str">
        <f t="shared" si="70"/>
        <v>B+</v>
      </c>
      <c r="AD67" s="13" t="str">
        <f t="shared" si="80"/>
        <v>321</v>
      </c>
      <c r="AE67" s="1">
        <v>550</v>
      </c>
      <c r="AF67" s="15">
        <f t="shared" si="78"/>
        <v>58.36363636363636</v>
      </c>
      <c r="AG67" s="13" t="str">
        <f t="shared" si="78"/>
        <v>PASS</v>
      </c>
      <c r="AI67" s="1">
        <v>22</v>
      </c>
      <c r="AJ67" s="15">
        <f t="shared" si="81"/>
        <v>22</v>
      </c>
      <c r="AK67" s="16">
        <f t="shared" si="81"/>
        <v>132</v>
      </c>
      <c r="AL67" s="7">
        <f t="shared" si="81"/>
        <v>6</v>
      </c>
      <c r="AR67" s="7" t="str">
        <f t="shared" si="71"/>
        <v>B+</v>
      </c>
      <c r="AS67" s="8">
        <f t="shared" si="72"/>
        <v>7</v>
      </c>
      <c r="AT67" s="8">
        <f t="shared" si="73"/>
        <v>14</v>
      </c>
      <c r="AU67" s="13">
        <f>IF(OR(UPPER(TRIM(AC67))="AB", AC67=901, AC67="901"), 0, IF(ISNUMBER(MATCH(UPPER(TRIM(AC67)), {"A+","A","B+","B","C","D","P"}, 0)), 2, 0))</f>
        <v>2</v>
      </c>
      <c r="AV67" s="13">
        <f t="shared" si="74"/>
        <v>31</v>
      </c>
      <c r="AW67">
        <f t="shared" si="75"/>
        <v>31</v>
      </c>
      <c r="AX67" s="1">
        <f t="shared" si="82"/>
        <v>62</v>
      </c>
      <c r="AY67" s="13">
        <f t="shared" si="79"/>
        <v>321</v>
      </c>
    </row>
    <row r="68" spans="1:51">
      <c r="A68" s="14">
        <v>5240408</v>
      </c>
      <c r="B68" s="7"/>
      <c r="C68" s="33" t="s">
        <v>69</v>
      </c>
      <c r="D68" s="1" t="s">
        <v>47</v>
      </c>
      <c r="E68" s="3">
        <v>1</v>
      </c>
      <c r="F68" s="1" t="s">
        <v>48</v>
      </c>
      <c r="G68" s="1">
        <v>1461412</v>
      </c>
      <c r="H68" s="2" t="s">
        <v>56</v>
      </c>
      <c r="I68" s="5" t="s">
        <v>50</v>
      </c>
      <c r="J68" s="1">
        <v>12</v>
      </c>
      <c r="K68" s="13" t="str">
        <f t="shared" si="76"/>
        <v>P</v>
      </c>
      <c r="L68" s="1">
        <v>12</v>
      </c>
      <c r="M68" s="13" t="str">
        <f t="shared" si="77"/>
        <v>P</v>
      </c>
      <c r="AB68" s="7" t="str">
        <f t="shared" si="69"/>
        <v>24</v>
      </c>
      <c r="AC68" s="13" t="str">
        <f t="shared" si="70"/>
        <v>D</v>
      </c>
      <c r="AD68" s="13" t="str">
        <f t="shared" si="80"/>
        <v>321</v>
      </c>
      <c r="AE68" s="1">
        <v>550</v>
      </c>
      <c r="AF68" s="15">
        <f t="shared" si="78"/>
        <v>58.36363636363636</v>
      </c>
      <c r="AG68" s="13" t="str">
        <f t="shared" si="78"/>
        <v>PASS</v>
      </c>
      <c r="AI68" s="1">
        <v>22</v>
      </c>
      <c r="AJ68" s="15">
        <f t="shared" si="81"/>
        <v>22</v>
      </c>
      <c r="AK68" s="16">
        <f t="shared" si="81"/>
        <v>132</v>
      </c>
      <c r="AL68" s="7">
        <f t="shared" si="81"/>
        <v>6</v>
      </c>
      <c r="AR68" s="7" t="str">
        <f t="shared" si="71"/>
        <v>B+</v>
      </c>
      <c r="AS68" s="8">
        <f t="shared" si="72"/>
        <v>4</v>
      </c>
      <c r="AT68" s="8">
        <f t="shared" si="73"/>
        <v>8</v>
      </c>
      <c r="AU68" s="13">
        <f>IF(OR(UPPER(TRIM(AC68))="AB", AC68=901, AC68="901"), 0, IF(ISNUMBER(MATCH(UPPER(TRIM(AC68)), {"A+","A","B+","B","C","D","P"}, 0)), 2, 0))</f>
        <v>2</v>
      </c>
      <c r="AV68" s="13">
        <f t="shared" si="74"/>
        <v>24</v>
      </c>
      <c r="AW68">
        <f t="shared" si="75"/>
        <v>24</v>
      </c>
      <c r="AX68" s="1">
        <f t="shared" si="82"/>
        <v>48</v>
      </c>
      <c r="AY68" s="13">
        <f t="shared" si="79"/>
        <v>321</v>
      </c>
    </row>
    <row r="69" spans="1:51">
      <c r="A69" s="14">
        <v>5240408</v>
      </c>
      <c r="B69" s="7"/>
      <c r="C69" s="33" t="s">
        <v>69</v>
      </c>
      <c r="D69" s="1" t="s">
        <v>47</v>
      </c>
      <c r="E69" s="3">
        <v>1</v>
      </c>
      <c r="F69" s="1" t="s">
        <v>48</v>
      </c>
      <c r="G69" s="1">
        <v>2511515</v>
      </c>
      <c r="H69" s="2" t="s">
        <v>57</v>
      </c>
      <c r="I69" s="5" t="s">
        <v>50</v>
      </c>
      <c r="J69" s="1">
        <v>12</v>
      </c>
      <c r="K69" s="13" t="str">
        <f t="shared" si="76"/>
        <v>P</v>
      </c>
      <c r="L69" s="1">
        <v>13</v>
      </c>
      <c r="M69" s="13" t="str">
        <f t="shared" si="77"/>
        <v>P</v>
      </c>
      <c r="AB69" s="7" t="str">
        <f t="shared" si="69"/>
        <v>25</v>
      </c>
      <c r="AC69" s="13" t="str">
        <f t="shared" si="70"/>
        <v>C</v>
      </c>
      <c r="AD69" s="13" t="str">
        <f t="shared" si="80"/>
        <v>321</v>
      </c>
      <c r="AE69" s="1">
        <v>550</v>
      </c>
      <c r="AF69" s="15">
        <f t="shared" si="78"/>
        <v>58.36363636363636</v>
      </c>
      <c r="AG69" s="13" t="str">
        <f t="shared" si="78"/>
        <v>PASS</v>
      </c>
      <c r="AI69" s="1">
        <v>22</v>
      </c>
      <c r="AJ69" s="15">
        <f t="shared" si="81"/>
        <v>22</v>
      </c>
      <c r="AK69" s="16">
        <f t="shared" si="81"/>
        <v>132</v>
      </c>
      <c r="AL69" s="7">
        <f t="shared" si="81"/>
        <v>6</v>
      </c>
      <c r="AR69" s="7" t="str">
        <f t="shared" si="71"/>
        <v>B+</v>
      </c>
      <c r="AS69" s="8">
        <f t="shared" si="72"/>
        <v>5</v>
      </c>
      <c r="AT69" s="8">
        <f t="shared" si="73"/>
        <v>10</v>
      </c>
      <c r="AU69" s="13">
        <f>IF(OR(UPPER(TRIM(AC69))="AB", AC69=901, AC69="901"), 0, IF(ISNUMBER(MATCH(UPPER(TRIM(AC69)), {"A+","A","B+","B","C","D","P"}, 0)), 2, 0))</f>
        <v>2</v>
      </c>
      <c r="AV69" s="13">
        <f t="shared" si="74"/>
        <v>25</v>
      </c>
      <c r="AW69">
        <f t="shared" si="75"/>
        <v>25</v>
      </c>
      <c r="AX69" s="1">
        <f t="shared" si="82"/>
        <v>50</v>
      </c>
      <c r="AY69" s="13">
        <f t="shared" si="79"/>
        <v>321</v>
      </c>
    </row>
    <row r="70" spans="1:51">
      <c r="A70" s="14">
        <v>5240408</v>
      </c>
      <c r="B70" s="7"/>
      <c r="C70" s="33" t="s">
        <v>69</v>
      </c>
      <c r="D70" s="1" t="s">
        <v>47</v>
      </c>
      <c r="E70" s="3">
        <v>1</v>
      </c>
      <c r="F70" s="1" t="s">
        <v>48</v>
      </c>
      <c r="G70" s="1">
        <v>2521615</v>
      </c>
      <c r="H70" s="4" t="s">
        <v>58</v>
      </c>
      <c r="I70" s="5" t="s">
        <v>50</v>
      </c>
      <c r="J70" s="1">
        <v>19</v>
      </c>
      <c r="K70" s="13" t="str">
        <f t="shared" si="76"/>
        <v>P</v>
      </c>
      <c r="L70" s="1">
        <v>14</v>
      </c>
      <c r="M70" s="13" t="str">
        <f t="shared" si="77"/>
        <v>P</v>
      </c>
      <c r="AB70" s="7" t="str">
        <f t="shared" si="69"/>
        <v>33</v>
      </c>
      <c r="AC70" s="13" t="str">
        <f t="shared" si="70"/>
        <v>B+</v>
      </c>
      <c r="AD70" s="13" t="str">
        <f t="shared" si="80"/>
        <v>321</v>
      </c>
      <c r="AE70" s="1">
        <v>550</v>
      </c>
      <c r="AF70" s="15">
        <f t="shared" si="78"/>
        <v>58.36363636363636</v>
      </c>
      <c r="AG70" s="13" t="str">
        <f t="shared" si="78"/>
        <v>PASS</v>
      </c>
      <c r="AI70" s="1">
        <v>22</v>
      </c>
      <c r="AJ70" s="15">
        <f t="shared" si="81"/>
        <v>22</v>
      </c>
      <c r="AK70" s="16">
        <f t="shared" si="81"/>
        <v>132</v>
      </c>
      <c r="AL70" s="7">
        <f t="shared" si="81"/>
        <v>6</v>
      </c>
      <c r="AR70" s="7" t="str">
        <f t="shared" si="71"/>
        <v>B+</v>
      </c>
      <c r="AS70" s="8">
        <f t="shared" si="72"/>
        <v>7</v>
      </c>
      <c r="AT70" s="8">
        <f t="shared" si="73"/>
        <v>14</v>
      </c>
      <c r="AU70" s="13">
        <f>IF(OR(UPPER(TRIM(AC70))="AB", AC70=901, AC70="901"), 0, IF(ISNUMBER(MATCH(UPPER(TRIM(AC70)), {"A+","A","B+","B","C","D","P"}, 0)), 2, 0))</f>
        <v>2</v>
      </c>
      <c r="AV70" s="13">
        <f t="shared" si="74"/>
        <v>33</v>
      </c>
      <c r="AW70">
        <f t="shared" si="75"/>
        <v>33</v>
      </c>
      <c r="AX70" s="1">
        <f t="shared" si="82"/>
        <v>66</v>
      </c>
      <c r="AY70" s="13">
        <f t="shared" si="79"/>
        <v>321</v>
      </c>
    </row>
    <row r="71" spans="1:51">
      <c r="A71" s="14">
        <v>5240408</v>
      </c>
      <c r="B71" s="7"/>
      <c r="C71" s="33" t="s">
        <v>69</v>
      </c>
      <c r="D71" s="1" t="s">
        <v>47</v>
      </c>
      <c r="E71" s="3">
        <v>1</v>
      </c>
      <c r="F71" s="1" t="s">
        <v>48</v>
      </c>
      <c r="G71" s="1">
        <v>2531511</v>
      </c>
      <c r="H71" s="2" t="s">
        <v>59</v>
      </c>
      <c r="I71" s="5" t="s">
        <v>50</v>
      </c>
      <c r="J71" s="1">
        <v>16</v>
      </c>
      <c r="K71" s="13" t="str">
        <f t="shared" si="76"/>
        <v>P</v>
      </c>
      <c r="L71" s="1">
        <v>12</v>
      </c>
      <c r="M71" s="13" t="str">
        <f t="shared" si="77"/>
        <v>P</v>
      </c>
      <c r="AB71" s="7" t="str">
        <f t="shared" si="69"/>
        <v>28</v>
      </c>
      <c r="AC71" s="13" t="str">
        <f t="shared" si="70"/>
        <v>B</v>
      </c>
      <c r="AD71" s="13" t="str">
        <f t="shared" si="80"/>
        <v>321</v>
      </c>
      <c r="AE71" s="1">
        <v>550</v>
      </c>
      <c r="AF71" s="15">
        <f t="shared" si="78"/>
        <v>58.36363636363636</v>
      </c>
      <c r="AG71" s="13" t="str">
        <f t="shared" si="78"/>
        <v>PASS</v>
      </c>
      <c r="AI71" s="1">
        <v>22</v>
      </c>
      <c r="AJ71" s="15">
        <f t="shared" si="81"/>
        <v>22</v>
      </c>
      <c r="AK71" s="16">
        <f t="shared" si="81"/>
        <v>132</v>
      </c>
      <c r="AL71" s="7">
        <f t="shared" si="81"/>
        <v>6</v>
      </c>
      <c r="AR71" s="7" t="str">
        <f t="shared" si="71"/>
        <v>B+</v>
      </c>
      <c r="AS71" s="8">
        <f t="shared" si="72"/>
        <v>6</v>
      </c>
      <c r="AT71" s="8">
        <f t="shared" si="73"/>
        <v>12</v>
      </c>
      <c r="AU71" s="13">
        <f>IF(OR(UPPER(TRIM(AC71))="AB", AC71=901, AC71="901"), 0, IF(ISNUMBER(MATCH(UPPER(TRIM(AC71)), {"A+","A","B+","B","C","D","P"}, 0)), 2, 0))</f>
        <v>2</v>
      </c>
      <c r="AV71" s="13">
        <f t="shared" si="74"/>
        <v>28</v>
      </c>
      <c r="AW71">
        <f t="shared" si="75"/>
        <v>28</v>
      </c>
      <c r="AX71" s="1">
        <f t="shared" si="82"/>
        <v>56.000000000000007</v>
      </c>
      <c r="AY71" s="13">
        <f t="shared" si="79"/>
        <v>321</v>
      </c>
    </row>
    <row r="72" spans="1:51">
      <c r="A72" s="14">
        <v>5240408</v>
      </c>
      <c r="B72" s="7"/>
      <c r="C72" s="33" t="s">
        <v>69</v>
      </c>
      <c r="D72" s="1" t="s">
        <v>47</v>
      </c>
      <c r="E72" s="3">
        <v>1</v>
      </c>
      <c r="F72" s="1" t="s">
        <v>48</v>
      </c>
      <c r="G72" s="1">
        <v>2541515</v>
      </c>
      <c r="H72" s="2" t="s">
        <v>60</v>
      </c>
      <c r="I72" s="5" t="s">
        <v>50</v>
      </c>
      <c r="J72" s="1">
        <v>17</v>
      </c>
      <c r="K72" s="13" t="str">
        <f t="shared" si="76"/>
        <v>P</v>
      </c>
      <c r="L72" s="6">
        <v>12</v>
      </c>
      <c r="M72" s="13" t="str">
        <f t="shared" si="77"/>
        <v>P</v>
      </c>
      <c r="AB72" s="7" t="str">
        <f t="shared" si="69"/>
        <v>29</v>
      </c>
      <c r="AC72" s="13" t="str">
        <f t="shared" si="70"/>
        <v>B</v>
      </c>
      <c r="AD72" s="13" t="str">
        <f t="shared" si="80"/>
        <v>321</v>
      </c>
      <c r="AE72" s="1">
        <v>550</v>
      </c>
      <c r="AF72" s="15">
        <f t="shared" si="78"/>
        <v>58.36363636363636</v>
      </c>
      <c r="AG72" s="13" t="str">
        <f t="shared" si="78"/>
        <v>PASS</v>
      </c>
      <c r="AI72" s="1">
        <v>22</v>
      </c>
      <c r="AJ72" s="15">
        <f t="shared" si="81"/>
        <v>22</v>
      </c>
      <c r="AK72" s="16">
        <f t="shared" si="81"/>
        <v>132</v>
      </c>
      <c r="AL72" s="7">
        <f t="shared" si="81"/>
        <v>6</v>
      </c>
      <c r="AR72" s="7" t="str">
        <f t="shared" si="71"/>
        <v>B+</v>
      </c>
      <c r="AS72" s="8">
        <f t="shared" si="72"/>
        <v>6</v>
      </c>
      <c r="AT72" s="8">
        <f t="shared" si="73"/>
        <v>12</v>
      </c>
      <c r="AU72" s="13">
        <f>IF(OR(UPPER(TRIM(AC72))="AB", AC72=901, AC72="901"), 0, IF(ISNUMBER(MATCH(UPPER(TRIM(AC72)), {"A+","A","B+","B","C","D","P"}, 0)), 2, 0))</f>
        <v>2</v>
      </c>
      <c r="AV72" s="13">
        <f t="shared" si="74"/>
        <v>29</v>
      </c>
      <c r="AW72">
        <f t="shared" si="75"/>
        <v>29</v>
      </c>
      <c r="AX72" s="1">
        <f t="shared" si="82"/>
        <v>57.999999999999993</v>
      </c>
      <c r="AY72" s="13">
        <f t="shared" si="79"/>
        <v>321</v>
      </c>
    </row>
    <row r="74" spans="1:51">
      <c r="A74" s="7">
        <v>5314800</v>
      </c>
      <c r="B74" s="7"/>
      <c r="C74" s="33" t="s">
        <v>70</v>
      </c>
      <c r="D74" s="1" t="s">
        <v>47</v>
      </c>
      <c r="E74" s="3">
        <v>1</v>
      </c>
      <c r="F74" s="1" t="s">
        <v>48</v>
      </c>
      <c r="G74" s="1">
        <v>1011312</v>
      </c>
      <c r="H74" s="2" t="s">
        <v>49</v>
      </c>
      <c r="I74" s="5" t="s">
        <v>50</v>
      </c>
      <c r="J74" s="6">
        <v>901</v>
      </c>
      <c r="K74" s="13" t="str">
        <f>IF(OR(UPPER(TRIM(J74))="AB",J74=901,J74="901"),"F",IF(J74&gt;=8,"P","F"))</f>
        <v>F</v>
      </c>
      <c r="L74" s="1">
        <v>901</v>
      </c>
      <c r="M74" s="13" t="str">
        <f>IF(OR(UPPER(TRIM(L74))="AB",L74=901,L74="901"),"F",IF(L74&gt;=8,"P","F"))</f>
        <v>F</v>
      </c>
      <c r="N74" s="13"/>
      <c r="O74" s="13"/>
      <c r="P74" s="13"/>
      <c r="Q74" s="13"/>
      <c r="R74" s="13"/>
      <c r="S74" s="13"/>
      <c r="T74" s="13"/>
      <c r="U74" s="13"/>
      <c r="V74" s="13"/>
      <c r="W74" s="13"/>
      <c r="X74" s="13"/>
      <c r="Y74" s="13"/>
      <c r="Z74" s="13"/>
      <c r="AB74" s="7" t="str">
        <f t="shared" ref="AB74:AB84" si="83">AV74 &amp; IF(AA74&lt;&gt;"", " @ " &amp; AA74, "")</f>
        <v>0</v>
      </c>
      <c r="AC74" s="13" t="str">
        <f t="shared" ref="AC74:AC84" si="84">IF(AX74&gt;=90,"O",
IF(AX74&gt;=80,"A+",
IF(AX74&gt;=70,"A",
IF(AX74&gt;=60,"B+",
IF(AX74&gt;=55,"B",
IF(AX74&gt;=50,"C",
IF(AX74&gt;=40,"D","F")))))))</f>
        <v>F</v>
      </c>
      <c r="AD74" s="13" t="str">
        <f>SUM(AV74:AV84) &amp; IF(SUM(AA74:AA84)&gt;0, " @ " &amp; SUM(AA74:AA84), "")</f>
        <v>22</v>
      </c>
      <c r="AE74" s="1">
        <v>550</v>
      </c>
      <c r="AF74" s="15">
        <f>AY74/AE74*100</f>
        <v>4</v>
      </c>
      <c r="AG74" s="13" t="str" cm="1">
        <f t="array" ref="AG74">IF(
  SUMPRODUCT(--(IFERROR(VALUE(J74:J84),9999)&lt;8))
  + SUMPRODUCT(--(IFERROR(VALUE(L74:L84),9999)&lt;12))
  + COUNTIF(J74:J84,"AB") + COUNTIF(L74:L84,"AB")
  + COUNTIF(J74:J84,901) + COUNTIF(L74:L84,901) &gt; 0,
  "ATKT",
  "PASS"
)</f>
        <v>ATKT</v>
      </c>
      <c r="AI74" s="1">
        <v>22</v>
      </c>
      <c r="AJ74" s="15">
        <f>SUM(AU74:AU84)</f>
        <v>0</v>
      </c>
      <c r="AK74" s="16">
        <f>SUM(AT74:AT84)</f>
        <v>0</v>
      </c>
      <c r="AL74" s="7">
        <f>IF(UPPER(TRIM(AG74))="ATKT",0,ROUND( (SUM(AT74:AT84) /22), 2))</f>
        <v>0</v>
      </c>
      <c r="AR74" s="7" t="str">
        <f t="shared" ref="AR74:AR84" si="85">IF(AL74&gt;=9,"O", IF(AL74&gt;=8,"A+", IF(AL74&gt;=7,"A", IF(AL74&gt;=6,"B+", IF(AL74&gt;=5.5,"B", IF(AL74&gt;=5,"C", IF(AL74&gt;=4,"D","F")))))))</f>
        <v>F</v>
      </c>
      <c r="AS74" s="8">
        <f t="shared" ref="AS74:AS84" si="86">IF(AX74&gt;=90,10,
IF(AX74&gt;=80,9,
IF(AX74&gt;=70,8,
IF(AX74&gt;=60,7,
IF(AX74&gt;=55,6,
IF(AX74&gt;=50,5,
IF(AX74&gt;=40,4,0)))))))</f>
        <v>0</v>
      </c>
      <c r="AT74" s="8">
        <f t="shared" ref="AT74:AT84" si="87">AS74*I74</f>
        <v>0</v>
      </c>
      <c r="AU74" s="13">
        <f>IF(OR(UPPER(TRIM(AC74))="AB", AC74=901, AC74="901"), 0, IF(ISNUMBER(MATCH(UPPER(TRIM(AC74)), {"A+","A","B+","B","C","D","P"}, 0)), 2, 0))</f>
        <v>0</v>
      </c>
      <c r="AV74" s="13">
        <f t="shared" ref="AV74:AV84" si="88">SUM(
IF(OR(UPPER(TRIM(J74))="AB",J74=901,J74="901"),0,IFERROR(VALUE(J74),0)),
IF(OR(UPPER(TRIM(L74))="AB",L74=901,L74="901"),0,IFERROR(VALUE(L74),0)),
IF(OR(UPPER(TRIM(N74))="AB",N74=901,N74="901"),0,IFERROR(VALUE(N74),0))
)</f>
        <v>0</v>
      </c>
      <c r="AW74">
        <f t="shared" ref="AW74:AW84" si="89">AA74+AV74</f>
        <v>0</v>
      </c>
      <c r="AX74" s="1">
        <f t="shared" ref="AX74:AX84" si="90">(AW74 / 50) * 100</f>
        <v>0</v>
      </c>
      <c r="AY74" s="13">
        <f>SUM(AW74:AW84)</f>
        <v>22</v>
      </c>
    </row>
    <row r="75" spans="1:51">
      <c r="A75" s="7">
        <v>5314800</v>
      </c>
      <c r="B75" s="7"/>
      <c r="C75" s="33" t="s">
        <v>70</v>
      </c>
      <c r="D75" s="1" t="s">
        <v>47</v>
      </c>
      <c r="E75" s="3">
        <v>1</v>
      </c>
      <c r="F75" s="1" t="s">
        <v>48</v>
      </c>
      <c r="G75" s="1">
        <v>1171312</v>
      </c>
      <c r="H75" s="2" t="s">
        <v>51</v>
      </c>
      <c r="I75" s="5" t="s">
        <v>50</v>
      </c>
      <c r="J75" s="1">
        <v>12</v>
      </c>
      <c r="K75" s="13" t="str">
        <f t="shared" ref="K75:K84" si="91">IF(OR(UPPER(TRIM(J75))="AB",J75=901,J75="901"),"F",IF(J75&gt;=8,"P","F"))</f>
        <v>P</v>
      </c>
      <c r="L75" s="1">
        <v>901</v>
      </c>
      <c r="M75" s="13" t="str">
        <f t="shared" ref="M75:M84" si="92">IF(OR(UPPER(TRIM(L75))="AB",L75=901,L75="901"),"F",IF(L75&gt;=8,"P","F"))</f>
        <v>F</v>
      </c>
      <c r="AB75" s="7" t="str">
        <f t="shared" si="83"/>
        <v>12</v>
      </c>
      <c r="AC75" s="13" t="str">
        <f t="shared" si="84"/>
        <v>F</v>
      </c>
      <c r="AD75" s="13" t="str">
        <f>AD74</f>
        <v>22</v>
      </c>
      <c r="AE75" s="1">
        <v>550</v>
      </c>
      <c r="AF75" s="15">
        <f t="shared" ref="AF75:AG84" si="93">AF74</f>
        <v>4</v>
      </c>
      <c r="AG75" s="13" t="str">
        <f t="shared" si="93"/>
        <v>ATKT</v>
      </c>
      <c r="AI75" s="1">
        <v>22</v>
      </c>
      <c r="AJ75" s="15">
        <f>AJ74</f>
        <v>0</v>
      </c>
      <c r="AK75" s="16">
        <f>AK74</f>
        <v>0</v>
      </c>
      <c r="AL75" s="7">
        <f>AL74</f>
        <v>0</v>
      </c>
      <c r="AR75" s="7" t="str">
        <f t="shared" si="85"/>
        <v>F</v>
      </c>
      <c r="AS75" s="8">
        <f t="shared" si="86"/>
        <v>0</v>
      </c>
      <c r="AT75" s="8">
        <f t="shared" si="87"/>
        <v>0</v>
      </c>
      <c r="AU75" s="13">
        <f>IF(OR(UPPER(TRIM(AC75))="AB", AC75=901, AC75="901"), 0, IF(ISNUMBER(MATCH(UPPER(TRIM(AC75)), {"A+","A","B+","B","C","D","P"}, 0)), 2, 0))</f>
        <v>0</v>
      </c>
      <c r="AV75" s="13">
        <f t="shared" si="88"/>
        <v>12</v>
      </c>
      <c r="AW75">
        <f t="shared" si="89"/>
        <v>12</v>
      </c>
      <c r="AX75" s="1">
        <f t="shared" si="90"/>
        <v>24</v>
      </c>
      <c r="AY75" s="13">
        <f t="shared" ref="AY75:AY84" si="94">AY74</f>
        <v>22</v>
      </c>
    </row>
    <row r="76" spans="1:51">
      <c r="A76" s="7">
        <v>5314800</v>
      </c>
      <c r="B76" s="7"/>
      <c r="C76" s="33" t="s">
        <v>70</v>
      </c>
      <c r="D76" s="1" t="s">
        <v>47</v>
      </c>
      <c r="E76" s="3">
        <v>1</v>
      </c>
      <c r="F76" s="1" t="s">
        <v>48</v>
      </c>
      <c r="G76" s="1">
        <v>1461111</v>
      </c>
      <c r="H76" s="2" t="s">
        <v>52</v>
      </c>
      <c r="I76" s="5" t="s">
        <v>50</v>
      </c>
      <c r="J76" s="1">
        <v>901</v>
      </c>
      <c r="K76" s="13" t="str">
        <f t="shared" si="91"/>
        <v>F</v>
      </c>
      <c r="L76" s="1">
        <v>901</v>
      </c>
      <c r="M76" s="13" t="str">
        <f t="shared" si="92"/>
        <v>F</v>
      </c>
      <c r="AB76" s="7" t="str">
        <f t="shared" si="83"/>
        <v>0</v>
      </c>
      <c r="AC76" s="13" t="str">
        <f t="shared" si="84"/>
        <v>F</v>
      </c>
      <c r="AD76" s="13" t="str">
        <f t="shared" ref="AD76:AD84" si="95">AD75</f>
        <v>22</v>
      </c>
      <c r="AE76" s="1">
        <v>550</v>
      </c>
      <c r="AF76" s="15">
        <f t="shared" si="93"/>
        <v>4</v>
      </c>
      <c r="AG76" s="13" t="str">
        <f t="shared" si="93"/>
        <v>ATKT</v>
      </c>
      <c r="AI76" s="1">
        <v>22</v>
      </c>
      <c r="AJ76" s="15">
        <f t="shared" ref="AJ76:AL84" si="96">AJ75</f>
        <v>0</v>
      </c>
      <c r="AK76" s="16">
        <f t="shared" si="96"/>
        <v>0</v>
      </c>
      <c r="AL76" s="7">
        <f t="shared" si="96"/>
        <v>0</v>
      </c>
      <c r="AR76" s="7" t="str">
        <f t="shared" si="85"/>
        <v>F</v>
      </c>
      <c r="AS76" s="8">
        <f t="shared" si="86"/>
        <v>0</v>
      </c>
      <c r="AT76" s="8">
        <f t="shared" si="87"/>
        <v>0</v>
      </c>
      <c r="AU76" s="13">
        <f>IF(OR(UPPER(TRIM(AC76))="AB", AC76=901, AC76="901"), 0, IF(ISNUMBER(MATCH(UPPER(TRIM(AC76)), {"A+","A","B+","B","C","D","P"}, 0)), 2, 0))</f>
        <v>0</v>
      </c>
      <c r="AV76" s="13">
        <f t="shared" si="88"/>
        <v>0</v>
      </c>
      <c r="AW76">
        <f t="shared" si="89"/>
        <v>0</v>
      </c>
      <c r="AX76" s="1">
        <f t="shared" si="90"/>
        <v>0</v>
      </c>
      <c r="AY76" s="13">
        <f t="shared" si="94"/>
        <v>22</v>
      </c>
    </row>
    <row r="77" spans="1:51">
      <c r="A77" s="7">
        <v>5314800</v>
      </c>
      <c r="B77" s="7"/>
      <c r="C77" s="33" t="s">
        <v>70</v>
      </c>
      <c r="D77" s="1" t="s">
        <v>47</v>
      </c>
      <c r="E77" s="3">
        <v>1</v>
      </c>
      <c r="F77" s="1" t="s">
        <v>48</v>
      </c>
      <c r="G77" s="1">
        <v>1461112</v>
      </c>
      <c r="H77" s="2" t="s">
        <v>53</v>
      </c>
      <c r="I77" s="5" t="s">
        <v>50</v>
      </c>
      <c r="J77" s="1">
        <v>901</v>
      </c>
      <c r="K77" s="13" t="str">
        <f t="shared" si="91"/>
        <v>F</v>
      </c>
      <c r="L77" s="1">
        <v>901</v>
      </c>
      <c r="M77" s="13" t="str">
        <f t="shared" si="92"/>
        <v>F</v>
      </c>
      <c r="AB77" s="7" t="str">
        <f t="shared" si="83"/>
        <v>0</v>
      </c>
      <c r="AC77" s="13" t="str">
        <f t="shared" si="84"/>
        <v>F</v>
      </c>
      <c r="AD77" s="13" t="str">
        <f t="shared" si="95"/>
        <v>22</v>
      </c>
      <c r="AE77" s="1">
        <v>550</v>
      </c>
      <c r="AF77" s="15">
        <f t="shared" si="93"/>
        <v>4</v>
      </c>
      <c r="AG77" s="13" t="str">
        <f t="shared" si="93"/>
        <v>ATKT</v>
      </c>
      <c r="AI77" s="1">
        <v>22</v>
      </c>
      <c r="AJ77" s="15">
        <f t="shared" si="96"/>
        <v>0</v>
      </c>
      <c r="AK77" s="16">
        <f t="shared" si="96"/>
        <v>0</v>
      </c>
      <c r="AL77" s="7">
        <f t="shared" si="96"/>
        <v>0</v>
      </c>
      <c r="AR77" s="7" t="str">
        <f t="shared" si="85"/>
        <v>F</v>
      </c>
      <c r="AS77" s="8">
        <f t="shared" si="86"/>
        <v>0</v>
      </c>
      <c r="AT77" s="8">
        <f t="shared" si="87"/>
        <v>0</v>
      </c>
      <c r="AU77" s="13">
        <f>IF(OR(UPPER(TRIM(AC77))="AB", AC77=901, AC77="901"), 0, IF(ISNUMBER(MATCH(UPPER(TRIM(AC77)), {"A+","A","B+","B","C","D","P"}, 0)), 2, 0))</f>
        <v>0</v>
      </c>
      <c r="AV77" s="13">
        <f t="shared" si="88"/>
        <v>0</v>
      </c>
      <c r="AW77">
        <f t="shared" si="89"/>
        <v>0</v>
      </c>
      <c r="AX77" s="1">
        <f t="shared" si="90"/>
        <v>0</v>
      </c>
      <c r="AY77" s="13">
        <f t="shared" si="94"/>
        <v>22</v>
      </c>
    </row>
    <row r="78" spans="1:51">
      <c r="A78" s="7">
        <v>5314800</v>
      </c>
      <c r="B78" s="7"/>
      <c r="C78" s="33" t="s">
        <v>70</v>
      </c>
      <c r="D78" s="1" t="s">
        <v>47</v>
      </c>
      <c r="E78" s="3">
        <v>1</v>
      </c>
      <c r="F78" s="1" t="s">
        <v>48</v>
      </c>
      <c r="G78" s="1">
        <v>1461113</v>
      </c>
      <c r="H78" s="2" t="s">
        <v>54</v>
      </c>
      <c r="I78" s="5" t="s">
        <v>50</v>
      </c>
      <c r="J78" s="1">
        <v>901</v>
      </c>
      <c r="K78" s="13" t="str">
        <f t="shared" si="91"/>
        <v>F</v>
      </c>
      <c r="L78" s="1">
        <v>901</v>
      </c>
      <c r="M78" s="13" t="str">
        <f t="shared" si="92"/>
        <v>F</v>
      </c>
      <c r="AB78" s="7" t="str">
        <f t="shared" si="83"/>
        <v>0</v>
      </c>
      <c r="AC78" s="13" t="str">
        <f t="shared" si="84"/>
        <v>F</v>
      </c>
      <c r="AD78" s="13" t="str">
        <f t="shared" si="95"/>
        <v>22</v>
      </c>
      <c r="AE78" s="1">
        <v>550</v>
      </c>
      <c r="AF78" s="15">
        <f t="shared" si="93"/>
        <v>4</v>
      </c>
      <c r="AG78" s="13" t="str">
        <f t="shared" si="93"/>
        <v>ATKT</v>
      </c>
      <c r="AI78" s="1">
        <v>22</v>
      </c>
      <c r="AJ78" s="15">
        <f t="shared" si="96"/>
        <v>0</v>
      </c>
      <c r="AK78" s="16">
        <f t="shared" si="96"/>
        <v>0</v>
      </c>
      <c r="AL78" s="7">
        <f t="shared" si="96"/>
        <v>0</v>
      </c>
      <c r="AR78" s="7" t="str">
        <f t="shared" si="85"/>
        <v>F</v>
      </c>
      <c r="AS78" s="8">
        <f t="shared" si="86"/>
        <v>0</v>
      </c>
      <c r="AT78" s="8">
        <f t="shared" si="87"/>
        <v>0</v>
      </c>
      <c r="AU78" s="13">
        <f>IF(OR(UPPER(TRIM(AC78))="AB", AC78=901, AC78="901"), 0, IF(ISNUMBER(MATCH(UPPER(TRIM(AC78)), {"A+","A","B+","B","C","D","P"}, 0)), 2, 0))</f>
        <v>0</v>
      </c>
      <c r="AV78" s="13">
        <f t="shared" si="88"/>
        <v>0</v>
      </c>
      <c r="AW78">
        <f t="shared" si="89"/>
        <v>0</v>
      </c>
      <c r="AX78" s="1">
        <f t="shared" si="90"/>
        <v>0</v>
      </c>
      <c r="AY78" s="13">
        <f t="shared" si="94"/>
        <v>22</v>
      </c>
    </row>
    <row r="79" spans="1:51">
      <c r="A79" s="7">
        <v>5314800</v>
      </c>
      <c r="B79" s="7"/>
      <c r="C79" s="33" t="s">
        <v>70</v>
      </c>
      <c r="D79" s="1" t="s">
        <v>47</v>
      </c>
      <c r="E79" s="3">
        <v>1</v>
      </c>
      <c r="F79" s="1" t="s">
        <v>48</v>
      </c>
      <c r="G79" s="1">
        <v>1461411</v>
      </c>
      <c r="H79" s="2" t="s">
        <v>55</v>
      </c>
      <c r="I79" s="5" t="s">
        <v>50</v>
      </c>
      <c r="J79" s="1">
        <v>901</v>
      </c>
      <c r="K79" s="13" t="str">
        <f t="shared" si="91"/>
        <v>F</v>
      </c>
      <c r="L79" s="1">
        <v>901</v>
      </c>
      <c r="M79" s="13" t="str">
        <f t="shared" si="92"/>
        <v>F</v>
      </c>
      <c r="AB79" s="7" t="str">
        <f t="shared" si="83"/>
        <v>0</v>
      </c>
      <c r="AC79" s="13" t="str">
        <f t="shared" si="84"/>
        <v>F</v>
      </c>
      <c r="AD79" s="13" t="str">
        <f t="shared" si="95"/>
        <v>22</v>
      </c>
      <c r="AE79" s="1">
        <v>550</v>
      </c>
      <c r="AF79" s="15">
        <f t="shared" si="93"/>
        <v>4</v>
      </c>
      <c r="AG79" s="13" t="str">
        <f t="shared" si="93"/>
        <v>ATKT</v>
      </c>
      <c r="AI79" s="1">
        <v>22</v>
      </c>
      <c r="AJ79" s="15">
        <f t="shared" si="96"/>
        <v>0</v>
      </c>
      <c r="AK79" s="16">
        <f t="shared" si="96"/>
        <v>0</v>
      </c>
      <c r="AL79" s="7">
        <f t="shared" si="96"/>
        <v>0</v>
      </c>
      <c r="AR79" s="7" t="str">
        <f t="shared" si="85"/>
        <v>F</v>
      </c>
      <c r="AS79" s="8">
        <f t="shared" si="86"/>
        <v>0</v>
      </c>
      <c r="AT79" s="8">
        <f t="shared" si="87"/>
        <v>0</v>
      </c>
      <c r="AU79" s="13">
        <f>IF(OR(UPPER(TRIM(AC79))="AB", AC79=901, AC79="901"), 0, IF(ISNUMBER(MATCH(UPPER(TRIM(AC79)), {"A+","A","B+","B","C","D","P"}, 0)), 2, 0))</f>
        <v>0</v>
      </c>
      <c r="AV79" s="13">
        <f t="shared" si="88"/>
        <v>0</v>
      </c>
      <c r="AW79">
        <f t="shared" si="89"/>
        <v>0</v>
      </c>
      <c r="AX79" s="1">
        <f t="shared" si="90"/>
        <v>0</v>
      </c>
      <c r="AY79" s="13">
        <f t="shared" si="94"/>
        <v>22</v>
      </c>
    </row>
    <row r="80" spans="1:51">
      <c r="A80" s="7">
        <v>5314800</v>
      </c>
      <c r="B80" s="7"/>
      <c r="C80" s="33" t="s">
        <v>70</v>
      </c>
      <c r="D80" s="1" t="s">
        <v>47</v>
      </c>
      <c r="E80" s="3">
        <v>1</v>
      </c>
      <c r="F80" s="1" t="s">
        <v>48</v>
      </c>
      <c r="G80" s="1">
        <v>1461412</v>
      </c>
      <c r="H80" s="2" t="s">
        <v>56</v>
      </c>
      <c r="I80" s="5" t="s">
        <v>50</v>
      </c>
      <c r="J80" s="1">
        <v>901</v>
      </c>
      <c r="K80" s="13" t="str">
        <f t="shared" si="91"/>
        <v>F</v>
      </c>
      <c r="L80" s="1">
        <v>901</v>
      </c>
      <c r="M80" s="13" t="str">
        <f t="shared" si="92"/>
        <v>F</v>
      </c>
      <c r="AB80" s="7" t="str">
        <f t="shared" si="83"/>
        <v>0</v>
      </c>
      <c r="AC80" s="13" t="str">
        <f t="shared" si="84"/>
        <v>F</v>
      </c>
      <c r="AD80" s="13" t="str">
        <f t="shared" si="95"/>
        <v>22</v>
      </c>
      <c r="AE80" s="1">
        <v>550</v>
      </c>
      <c r="AF80" s="15">
        <f t="shared" si="93"/>
        <v>4</v>
      </c>
      <c r="AG80" s="13" t="str">
        <f t="shared" si="93"/>
        <v>ATKT</v>
      </c>
      <c r="AI80" s="1">
        <v>22</v>
      </c>
      <c r="AJ80" s="15">
        <f t="shared" si="96"/>
        <v>0</v>
      </c>
      <c r="AK80" s="16">
        <f t="shared" si="96"/>
        <v>0</v>
      </c>
      <c r="AL80" s="7">
        <f t="shared" si="96"/>
        <v>0</v>
      </c>
      <c r="AR80" s="7" t="str">
        <f t="shared" si="85"/>
        <v>F</v>
      </c>
      <c r="AS80" s="8">
        <f t="shared" si="86"/>
        <v>0</v>
      </c>
      <c r="AT80" s="8">
        <f t="shared" si="87"/>
        <v>0</v>
      </c>
      <c r="AU80" s="13">
        <f>IF(OR(UPPER(TRIM(AC80))="AB", AC80=901, AC80="901"), 0, IF(ISNUMBER(MATCH(UPPER(TRIM(AC80)), {"A+","A","B+","B","C","D","P"}, 0)), 2, 0))</f>
        <v>0</v>
      </c>
      <c r="AV80" s="13">
        <f t="shared" si="88"/>
        <v>0</v>
      </c>
      <c r="AW80">
        <f t="shared" si="89"/>
        <v>0</v>
      </c>
      <c r="AX80" s="1">
        <f t="shared" si="90"/>
        <v>0</v>
      </c>
      <c r="AY80" s="13">
        <f t="shared" si="94"/>
        <v>22</v>
      </c>
    </row>
    <row r="81" spans="1:51">
      <c r="A81" s="7">
        <v>5314800</v>
      </c>
      <c r="B81" s="7"/>
      <c r="C81" s="33" t="s">
        <v>70</v>
      </c>
      <c r="D81" s="1" t="s">
        <v>47</v>
      </c>
      <c r="E81" s="3">
        <v>1</v>
      </c>
      <c r="F81" s="1" t="s">
        <v>48</v>
      </c>
      <c r="G81" s="1">
        <v>2511515</v>
      </c>
      <c r="H81" s="2" t="s">
        <v>57</v>
      </c>
      <c r="I81" s="5" t="s">
        <v>50</v>
      </c>
      <c r="J81" s="1">
        <v>901</v>
      </c>
      <c r="K81" s="13" t="str">
        <f t="shared" si="91"/>
        <v>F</v>
      </c>
      <c r="L81" s="1">
        <v>901</v>
      </c>
      <c r="M81" s="13" t="str">
        <f t="shared" si="92"/>
        <v>F</v>
      </c>
      <c r="AB81" s="7" t="str">
        <f t="shared" si="83"/>
        <v>0</v>
      </c>
      <c r="AC81" s="13" t="str">
        <f t="shared" si="84"/>
        <v>F</v>
      </c>
      <c r="AD81" s="13" t="str">
        <f t="shared" si="95"/>
        <v>22</v>
      </c>
      <c r="AE81" s="1">
        <v>550</v>
      </c>
      <c r="AF81" s="15">
        <f t="shared" si="93"/>
        <v>4</v>
      </c>
      <c r="AG81" s="13" t="str">
        <f t="shared" si="93"/>
        <v>ATKT</v>
      </c>
      <c r="AI81" s="1">
        <v>22</v>
      </c>
      <c r="AJ81" s="15">
        <f t="shared" si="96"/>
        <v>0</v>
      </c>
      <c r="AK81" s="16">
        <f t="shared" si="96"/>
        <v>0</v>
      </c>
      <c r="AL81" s="7">
        <f t="shared" si="96"/>
        <v>0</v>
      </c>
      <c r="AR81" s="7" t="str">
        <f t="shared" si="85"/>
        <v>F</v>
      </c>
      <c r="AS81" s="8">
        <f t="shared" si="86"/>
        <v>0</v>
      </c>
      <c r="AT81" s="8">
        <f t="shared" si="87"/>
        <v>0</v>
      </c>
      <c r="AU81" s="13">
        <f>IF(OR(UPPER(TRIM(AC81))="AB", AC81=901, AC81="901"), 0, IF(ISNUMBER(MATCH(UPPER(TRIM(AC81)), {"A+","A","B+","B","C","D","P"}, 0)), 2, 0))</f>
        <v>0</v>
      </c>
      <c r="AV81" s="13">
        <f t="shared" si="88"/>
        <v>0</v>
      </c>
      <c r="AW81">
        <f t="shared" si="89"/>
        <v>0</v>
      </c>
      <c r="AX81" s="1">
        <f t="shared" si="90"/>
        <v>0</v>
      </c>
      <c r="AY81" s="13">
        <f t="shared" si="94"/>
        <v>22</v>
      </c>
    </row>
    <row r="82" spans="1:51">
      <c r="A82" s="7">
        <v>5314800</v>
      </c>
      <c r="B82" s="7"/>
      <c r="C82" s="33" t="s">
        <v>70</v>
      </c>
      <c r="D82" s="1" t="s">
        <v>47</v>
      </c>
      <c r="E82" s="3">
        <v>1</v>
      </c>
      <c r="F82" s="1" t="s">
        <v>48</v>
      </c>
      <c r="G82" s="1">
        <v>2521615</v>
      </c>
      <c r="H82" s="4" t="s">
        <v>58</v>
      </c>
      <c r="I82" s="5" t="s">
        <v>50</v>
      </c>
      <c r="J82" s="1">
        <v>901</v>
      </c>
      <c r="K82" s="13" t="str">
        <f t="shared" si="91"/>
        <v>F</v>
      </c>
      <c r="L82" s="1">
        <v>901</v>
      </c>
      <c r="M82" s="13" t="str">
        <f t="shared" si="92"/>
        <v>F</v>
      </c>
      <c r="AB82" s="7" t="str">
        <f t="shared" si="83"/>
        <v>0</v>
      </c>
      <c r="AC82" s="13" t="str">
        <f t="shared" si="84"/>
        <v>F</v>
      </c>
      <c r="AD82" s="13" t="str">
        <f t="shared" si="95"/>
        <v>22</v>
      </c>
      <c r="AE82" s="1">
        <v>550</v>
      </c>
      <c r="AF82" s="15">
        <f t="shared" si="93"/>
        <v>4</v>
      </c>
      <c r="AG82" s="13" t="str">
        <f t="shared" si="93"/>
        <v>ATKT</v>
      </c>
      <c r="AI82" s="1">
        <v>22</v>
      </c>
      <c r="AJ82" s="15">
        <f t="shared" si="96"/>
        <v>0</v>
      </c>
      <c r="AK82" s="16">
        <f t="shared" si="96"/>
        <v>0</v>
      </c>
      <c r="AL82" s="7">
        <f t="shared" si="96"/>
        <v>0</v>
      </c>
      <c r="AR82" s="7" t="str">
        <f t="shared" si="85"/>
        <v>F</v>
      </c>
      <c r="AS82" s="8">
        <f t="shared" si="86"/>
        <v>0</v>
      </c>
      <c r="AT82" s="8">
        <f t="shared" si="87"/>
        <v>0</v>
      </c>
      <c r="AU82" s="13">
        <f>IF(OR(UPPER(TRIM(AC82))="AB", AC82=901, AC82="901"), 0, IF(ISNUMBER(MATCH(UPPER(TRIM(AC82)), {"A+","A","B+","B","C","D","P"}, 0)), 2, 0))</f>
        <v>0</v>
      </c>
      <c r="AV82" s="13">
        <f t="shared" si="88"/>
        <v>0</v>
      </c>
      <c r="AW82">
        <f t="shared" si="89"/>
        <v>0</v>
      </c>
      <c r="AX82" s="1">
        <f t="shared" si="90"/>
        <v>0</v>
      </c>
      <c r="AY82" s="13">
        <f t="shared" si="94"/>
        <v>22</v>
      </c>
    </row>
    <row r="83" spans="1:51">
      <c r="A83" s="7">
        <v>5314800</v>
      </c>
      <c r="B83" s="7"/>
      <c r="C83" s="33" t="s">
        <v>70</v>
      </c>
      <c r="D83" s="1" t="s">
        <v>47</v>
      </c>
      <c r="E83" s="3">
        <v>1</v>
      </c>
      <c r="F83" s="1" t="s">
        <v>48</v>
      </c>
      <c r="G83" s="1">
        <v>2531511</v>
      </c>
      <c r="H83" s="2" t="s">
        <v>59</v>
      </c>
      <c r="I83" s="5" t="s">
        <v>50</v>
      </c>
      <c r="J83" s="1">
        <v>901</v>
      </c>
      <c r="K83" s="13" t="str">
        <f t="shared" si="91"/>
        <v>F</v>
      </c>
      <c r="L83" s="1">
        <v>901</v>
      </c>
      <c r="M83" s="13" t="str">
        <f t="shared" si="92"/>
        <v>F</v>
      </c>
      <c r="AB83" s="7" t="str">
        <f t="shared" si="83"/>
        <v>0</v>
      </c>
      <c r="AC83" s="13" t="str">
        <f t="shared" si="84"/>
        <v>F</v>
      </c>
      <c r="AD83" s="13" t="str">
        <f t="shared" si="95"/>
        <v>22</v>
      </c>
      <c r="AE83" s="1">
        <v>550</v>
      </c>
      <c r="AF83" s="15">
        <f t="shared" si="93"/>
        <v>4</v>
      </c>
      <c r="AG83" s="13" t="str">
        <f t="shared" si="93"/>
        <v>ATKT</v>
      </c>
      <c r="AI83" s="1">
        <v>22</v>
      </c>
      <c r="AJ83" s="15">
        <f t="shared" si="96"/>
        <v>0</v>
      </c>
      <c r="AK83" s="16">
        <f t="shared" si="96"/>
        <v>0</v>
      </c>
      <c r="AL83" s="7">
        <f t="shared" si="96"/>
        <v>0</v>
      </c>
      <c r="AR83" s="7" t="str">
        <f t="shared" si="85"/>
        <v>F</v>
      </c>
      <c r="AS83" s="8">
        <f t="shared" si="86"/>
        <v>0</v>
      </c>
      <c r="AT83" s="8">
        <f t="shared" si="87"/>
        <v>0</v>
      </c>
      <c r="AU83" s="13">
        <f>IF(OR(UPPER(TRIM(AC83))="AB", AC83=901, AC83="901"), 0, IF(ISNUMBER(MATCH(UPPER(TRIM(AC83)), {"A+","A","B+","B","C","D","P"}, 0)), 2, 0))</f>
        <v>0</v>
      </c>
      <c r="AV83" s="13">
        <f t="shared" si="88"/>
        <v>0</v>
      </c>
      <c r="AW83">
        <f t="shared" si="89"/>
        <v>0</v>
      </c>
      <c r="AX83" s="1">
        <f t="shared" si="90"/>
        <v>0</v>
      </c>
      <c r="AY83" s="13">
        <f t="shared" si="94"/>
        <v>22</v>
      </c>
    </row>
    <row r="84" spans="1:51">
      <c r="A84" s="7">
        <v>5314800</v>
      </c>
      <c r="B84" s="7"/>
      <c r="C84" s="33" t="s">
        <v>70</v>
      </c>
      <c r="D84" s="1" t="s">
        <v>47</v>
      </c>
      <c r="E84" s="3">
        <v>1</v>
      </c>
      <c r="F84" s="1" t="s">
        <v>48</v>
      </c>
      <c r="G84" s="1">
        <v>2541515</v>
      </c>
      <c r="H84" s="2" t="s">
        <v>60</v>
      </c>
      <c r="I84" s="5" t="s">
        <v>50</v>
      </c>
      <c r="J84" s="1">
        <v>10</v>
      </c>
      <c r="K84" s="13" t="str">
        <f t="shared" si="91"/>
        <v>P</v>
      </c>
      <c r="L84" s="6">
        <v>901</v>
      </c>
      <c r="M84" s="13" t="str">
        <f t="shared" si="92"/>
        <v>F</v>
      </c>
      <c r="AB84" s="7" t="str">
        <f t="shared" si="83"/>
        <v>10</v>
      </c>
      <c r="AC84" s="13" t="str">
        <f t="shared" si="84"/>
        <v>F</v>
      </c>
      <c r="AD84" s="13" t="str">
        <f t="shared" si="95"/>
        <v>22</v>
      </c>
      <c r="AE84" s="1">
        <v>550</v>
      </c>
      <c r="AF84" s="15">
        <f t="shared" si="93"/>
        <v>4</v>
      </c>
      <c r="AG84" s="13" t="str">
        <f t="shared" si="93"/>
        <v>ATKT</v>
      </c>
      <c r="AI84" s="1">
        <v>22</v>
      </c>
      <c r="AJ84" s="15">
        <f t="shared" si="96"/>
        <v>0</v>
      </c>
      <c r="AK84" s="16">
        <f t="shared" si="96"/>
        <v>0</v>
      </c>
      <c r="AL84" s="7">
        <f t="shared" si="96"/>
        <v>0</v>
      </c>
      <c r="AR84" s="7" t="str">
        <f t="shared" si="85"/>
        <v>F</v>
      </c>
      <c r="AS84" s="8">
        <f t="shared" si="86"/>
        <v>0</v>
      </c>
      <c r="AT84" s="8">
        <f t="shared" si="87"/>
        <v>0</v>
      </c>
      <c r="AU84" s="13">
        <f>IF(OR(UPPER(TRIM(AC84))="AB", AC84=901, AC84="901"), 0, IF(ISNUMBER(MATCH(UPPER(TRIM(AC84)), {"A+","A","B+","B","C","D","P"}, 0)), 2, 0))</f>
        <v>0</v>
      </c>
      <c r="AV84" s="13">
        <f t="shared" si="88"/>
        <v>10</v>
      </c>
      <c r="AW84">
        <f t="shared" si="89"/>
        <v>10</v>
      </c>
      <c r="AX84" s="1">
        <f t="shared" si="90"/>
        <v>20</v>
      </c>
      <c r="AY84" s="13">
        <f t="shared" si="94"/>
        <v>22</v>
      </c>
    </row>
    <row r="86" spans="1:51">
      <c r="A86" s="7">
        <v>5250809</v>
      </c>
      <c r="B86" s="7"/>
      <c r="C86" s="33" t="s">
        <v>71</v>
      </c>
      <c r="D86" s="1" t="s">
        <v>47</v>
      </c>
      <c r="E86" s="3">
        <v>1</v>
      </c>
      <c r="F86" s="1" t="s">
        <v>48</v>
      </c>
      <c r="G86" s="1">
        <v>1011312</v>
      </c>
      <c r="H86" s="2" t="s">
        <v>49</v>
      </c>
      <c r="I86" s="5" t="s">
        <v>50</v>
      </c>
      <c r="J86" s="6">
        <v>12</v>
      </c>
      <c r="K86" s="13" t="str">
        <f>IF(OR(UPPER(TRIM(J86))="AB",J86=901,J86="901"),"F",IF(J86&gt;=8,"P","F"))</f>
        <v>P</v>
      </c>
      <c r="L86" s="1">
        <v>20</v>
      </c>
      <c r="M86" s="13" t="str">
        <f>IF(OR(UPPER(TRIM(L86))="AB",L86=901,L86="901"),"F",IF(L86&gt;=8,"P","F"))</f>
        <v>P</v>
      </c>
      <c r="N86" s="13"/>
      <c r="O86" s="13"/>
      <c r="P86" s="13"/>
      <c r="Q86" s="13"/>
      <c r="R86" s="13"/>
      <c r="S86" s="13"/>
      <c r="T86" s="13"/>
      <c r="U86" s="13"/>
      <c r="V86" s="13"/>
      <c r="W86" s="13"/>
      <c r="X86" s="13"/>
      <c r="Y86" s="13"/>
      <c r="Z86" s="13"/>
      <c r="AB86" s="7" t="str">
        <f t="shared" ref="AB86:AB96" si="97">AV86 &amp; IF(AA86&lt;&gt;"", " @ " &amp; AA86, "")</f>
        <v>32</v>
      </c>
      <c r="AC86" s="13" t="str">
        <f t="shared" ref="AC86:AC96" si="98">IF(AX86&gt;=90,"O",
IF(AX86&gt;=80,"A+",
IF(AX86&gt;=70,"A",
IF(AX86&gt;=60,"B+",
IF(AX86&gt;=55,"B",
IF(AX86&gt;=50,"C",
IF(AX86&gt;=40,"D","F")))))))</f>
        <v>B+</v>
      </c>
      <c r="AD86" s="13" t="str">
        <f>SUM(AV86:AV96) &amp; IF(SUM(AA86:AA96)&gt;0, " @ " &amp; SUM(AA86:AA96), "")</f>
        <v>342</v>
      </c>
      <c r="AE86" s="1">
        <v>550</v>
      </c>
      <c r="AF86" s="15">
        <f>AY86/AE86*100</f>
        <v>62.18181818181818</v>
      </c>
      <c r="AG86" s="13" t="str" cm="1">
        <f t="array" ref="AG86">IF(
  SUMPRODUCT(--(IFERROR(VALUE(J86:J96),9999)&lt;8))
  + SUMPRODUCT(--(IFERROR(VALUE(L86:L96),9999)&lt;12))
  + COUNTIF(J86:J96,"AB") + COUNTIF(L86:L96,"AB")
  + COUNTIF(J86:J96,901) + COUNTIF(L86:L96,901) &gt; 0,
  "ATKT",
  "PASS"
)</f>
        <v>PASS</v>
      </c>
      <c r="AI86" s="1">
        <v>22</v>
      </c>
      <c r="AJ86" s="15">
        <f>SUM(AU86:AU96)</f>
        <v>22</v>
      </c>
      <c r="AK86" s="16">
        <f>SUM(AT86:AT96)</f>
        <v>146</v>
      </c>
      <c r="AL86" s="7">
        <f>IF(UPPER(TRIM(AG86))="ATKT",0,ROUND( (SUM(AT86:AT96) /22), 2))</f>
        <v>6.64</v>
      </c>
      <c r="AR86" s="7" t="str">
        <f t="shared" ref="AR86:AR96" si="99">IF(AL86&gt;=9,"O", IF(AL86&gt;=8,"A+", IF(AL86&gt;=7,"A", IF(AL86&gt;=6,"B+", IF(AL86&gt;=5.5,"B", IF(AL86&gt;=5,"C", IF(AL86&gt;=4,"D","F")))))))</f>
        <v>B+</v>
      </c>
      <c r="AS86" s="8">
        <f t="shared" ref="AS86:AS96" si="100">IF(AX86&gt;=90,10,
IF(AX86&gt;=80,9,
IF(AX86&gt;=70,8,
IF(AX86&gt;=60,7,
IF(AX86&gt;=55,6,
IF(AX86&gt;=50,5,
IF(AX86&gt;=40,4,0)))))))</f>
        <v>7</v>
      </c>
      <c r="AT86" s="8">
        <f t="shared" ref="AT86:AT96" si="101">AS86*I86</f>
        <v>14</v>
      </c>
      <c r="AU86" s="13">
        <f>IF(OR(UPPER(TRIM(AC86))="AB", AC86=901, AC86="901"), 0, IF(ISNUMBER(MATCH(UPPER(TRIM(AC86)), {"A+","A","B+","B","C","D","P"}, 0)), 2, 0))</f>
        <v>2</v>
      </c>
      <c r="AV86" s="13">
        <f t="shared" ref="AV86:AV96" si="102">SUM(
IF(OR(UPPER(TRIM(J86))="AB",J86=901,J86="901"),0,IFERROR(VALUE(J86),0)),
IF(OR(UPPER(TRIM(L86))="AB",L86=901,L86="901"),0,IFERROR(VALUE(L86),0)),
IF(OR(UPPER(TRIM(N86))="AB",N86=901,N86="901"),0,IFERROR(VALUE(N86),0))
)</f>
        <v>32</v>
      </c>
      <c r="AW86">
        <f t="shared" ref="AW86:AW96" si="103">AA86+AV86</f>
        <v>32</v>
      </c>
      <c r="AX86" s="1">
        <f t="shared" ref="AX86:AX96" si="104">(AW86 / 50) * 100</f>
        <v>64</v>
      </c>
      <c r="AY86" s="13">
        <f>SUM(AW86:AW96)</f>
        <v>342</v>
      </c>
    </row>
    <row r="87" spans="1:51">
      <c r="A87" s="7">
        <v>5250809</v>
      </c>
      <c r="B87" s="7"/>
      <c r="C87" s="33" t="s">
        <v>71</v>
      </c>
      <c r="D87" s="1" t="s">
        <v>47</v>
      </c>
      <c r="E87" s="3">
        <v>1</v>
      </c>
      <c r="F87" s="1" t="s">
        <v>48</v>
      </c>
      <c r="G87" s="1">
        <v>1171312</v>
      </c>
      <c r="H87" s="2" t="s">
        <v>51</v>
      </c>
      <c r="I87" s="5" t="s">
        <v>50</v>
      </c>
      <c r="J87" s="1">
        <v>12</v>
      </c>
      <c r="K87" s="13" t="str">
        <f t="shared" ref="K87:K96" si="105">IF(OR(UPPER(TRIM(J87))="AB",J87=901,J87="901"),"F",IF(J87&gt;=8,"P","F"))</f>
        <v>P</v>
      </c>
      <c r="L87" s="1">
        <v>13</v>
      </c>
      <c r="M87" s="13" t="str">
        <f t="shared" ref="M87:M96" si="106">IF(OR(UPPER(TRIM(L87))="AB",L87=901,L87="901"),"F",IF(L87&gt;=8,"P","F"))</f>
        <v>P</v>
      </c>
      <c r="AB87" s="7" t="str">
        <f t="shared" si="97"/>
        <v>25</v>
      </c>
      <c r="AC87" s="13" t="str">
        <f t="shared" si="98"/>
        <v>C</v>
      </c>
      <c r="AD87" s="13" t="str">
        <f>AD86</f>
        <v>342</v>
      </c>
      <c r="AE87" s="1">
        <v>550</v>
      </c>
      <c r="AF87" s="15">
        <f t="shared" ref="AF87:AG96" si="107">AF86</f>
        <v>62.18181818181818</v>
      </c>
      <c r="AG87" s="13" t="str">
        <f t="shared" si="107"/>
        <v>PASS</v>
      </c>
      <c r="AI87" s="1">
        <v>22</v>
      </c>
      <c r="AJ87" s="15">
        <f>AJ86</f>
        <v>22</v>
      </c>
      <c r="AK87" s="16">
        <f>AK86</f>
        <v>146</v>
      </c>
      <c r="AL87" s="7">
        <f>AL86</f>
        <v>6.64</v>
      </c>
      <c r="AR87" s="7" t="str">
        <f t="shared" si="99"/>
        <v>B+</v>
      </c>
      <c r="AS87" s="8">
        <f t="shared" si="100"/>
        <v>5</v>
      </c>
      <c r="AT87" s="8">
        <f t="shared" si="101"/>
        <v>10</v>
      </c>
      <c r="AU87" s="13">
        <f>IF(OR(UPPER(TRIM(AC87))="AB", AC87=901, AC87="901"), 0, IF(ISNUMBER(MATCH(UPPER(TRIM(AC87)), {"A+","A","B+","B","C","D","P"}, 0)), 2, 0))</f>
        <v>2</v>
      </c>
      <c r="AV87" s="13">
        <f t="shared" si="102"/>
        <v>25</v>
      </c>
      <c r="AW87">
        <f t="shared" si="103"/>
        <v>25</v>
      </c>
      <c r="AX87" s="1">
        <f t="shared" si="104"/>
        <v>50</v>
      </c>
      <c r="AY87" s="13">
        <f t="shared" ref="AY87:AY96" si="108">AY86</f>
        <v>342</v>
      </c>
    </row>
    <row r="88" spans="1:51">
      <c r="A88" s="7">
        <v>5250809</v>
      </c>
      <c r="B88" s="7"/>
      <c r="C88" s="33" t="s">
        <v>71</v>
      </c>
      <c r="D88" s="1" t="s">
        <v>47</v>
      </c>
      <c r="E88" s="3">
        <v>1</v>
      </c>
      <c r="F88" s="1" t="s">
        <v>48</v>
      </c>
      <c r="G88" s="1">
        <v>1461111</v>
      </c>
      <c r="H88" s="2" t="s">
        <v>52</v>
      </c>
      <c r="I88" s="5" t="s">
        <v>50</v>
      </c>
      <c r="J88" s="1">
        <v>13</v>
      </c>
      <c r="K88" s="13" t="str">
        <f t="shared" si="105"/>
        <v>P</v>
      </c>
      <c r="L88" s="1">
        <v>14</v>
      </c>
      <c r="M88" s="13" t="str">
        <f t="shared" si="106"/>
        <v>P</v>
      </c>
      <c r="AB88" s="7" t="str">
        <f t="shared" si="97"/>
        <v>27</v>
      </c>
      <c r="AC88" s="13" t="str">
        <f t="shared" si="98"/>
        <v>C</v>
      </c>
      <c r="AD88" s="13" t="str">
        <f t="shared" ref="AD88:AD96" si="109">AD87</f>
        <v>342</v>
      </c>
      <c r="AE88" s="1">
        <v>550</v>
      </c>
      <c r="AF88" s="15">
        <f t="shared" si="107"/>
        <v>62.18181818181818</v>
      </c>
      <c r="AG88" s="13" t="str">
        <f t="shared" si="107"/>
        <v>PASS</v>
      </c>
      <c r="AI88" s="1">
        <v>22</v>
      </c>
      <c r="AJ88" s="15">
        <f t="shared" ref="AJ88:AL96" si="110">AJ87</f>
        <v>22</v>
      </c>
      <c r="AK88" s="16">
        <f t="shared" si="110"/>
        <v>146</v>
      </c>
      <c r="AL88" s="7">
        <f t="shared" si="110"/>
        <v>6.64</v>
      </c>
      <c r="AR88" s="7" t="str">
        <f t="shared" si="99"/>
        <v>B+</v>
      </c>
      <c r="AS88" s="8">
        <f t="shared" si="100"/>
        <v>5</v>
      </c>
      <c r="AT88" s="8">
        <f t="shared" si="101"/>
        <v>10</v>
      </c>
      <c r="AU88" s="13">
        <f>IF(OR(UPPER(TRIM(AC88))="AB", AC88=901, AC88="901"), 0, IF(ISNUMBER(MATCH(UPPER(TRIM(AC88)), {"A+","A","B+","B","C","D","P"}, 0)), 2, 0))</f>
        <v>2</v>
      </c>
      <c r="AV88" s="13">
        <f t="shared" si="102"/>
        <v>27</v>
      </c>
      <c r="AW88">
        <f t="shared" si="103"/>
        <v>27</v>
      </c>
      <c r="AX88" s="1">
        <f t="shared" si="104"/>
        <v>54</v>
      </c>
      <c r="AY88" s="13">
        <f t="shared" si="108"/>
        <v>342</v>
      </c>
    </row>
    <row r="89" spans="1:51">
      <c r="A89" s="7">
        <v>5250809</v>
      </c>
      <c r="B89" s="7"/>
      <c r="C89" s="33" t="s">
        <v>71</v>
      </c>
      <c r="D89" s="1" t="s">
        <v>47</v>
      </c>
      <c r="E89" s="3">
        <v>1</v>
      </c>
      <c r="F89" s="1" t="s">
        <v>48</v>
      </c>
      <c r="G89" s="1">
        <v>1461112</v>
      </c>
      <c r="H89" s="2" t="s">
        <v>53</v>
      </c>
      <c r="I89" s="5" t="s">
        <v>50</v>
      </c>
      <c r="J89" s="1">
        <v>13</v>
      </c>
      <c r="K89" s="13" t="str">
        <f t="shared" si="105"/>
        <v>P</v>
      </c>
      <c r="L89" s="1">
        <v>12</v>
      </c>
      <c r="M89" s="13" t="str">
        <f t="shared" si="106"/>
        <v>P</v>
      </c>
      <c r="AB89" s="7" t="str">
        <f t="shared" si="97"/>
        <v>25</v>
      </c>
      <c r="AC89" s="13" t="str">
        <f t="shared" si="98"/>
        <v>C</v>
      </c>
      <c r="AD89" s="13" t="str">
        <f t="shared" si="109"/>
        <v>342</v>
      </c>
      <c r="AE89" s="1">
        <v>550</v>
      </c>
      <c r="AF89" s="15">
        <f t="shared" si="107"/>
        <v>62.18181818181818</v>
      </c>
      <c r="AG89" s="13" t="str">
        <f t="shared" si="107"/>
        <v>PASS</v>
      </c>
      <c r="AI89" s="1">
        <v>22</v>
      </c>
      <c r="AJ89" s="15">
        <f t="shared" si="110"/>
        <v>22</v>
      </c>
      <c r="AK89" s="16">
        <f t="shared" si="110"/>
        <v>146</v>
      </c>
      <c r="AL89" s="7">
        <f t="shared" si="110"/>
        <v>6.64</v>
      </c>
      <c r="AR89" s="7" t="str">
        <f t="shared" si="99"/>
        <v>B+</v>
      </c>
      <c r="AS89" s="8">
        <f t="shared" si="100"/>
        <v>5</v>
      </c>
      <c r="AT89" s="8">
        <f t="shared" si="101"/>
        <v>10</v>
      </c>
      <c r="AU89" s="13">
        <f>IF(OR(UPPER(TRIM(AC89))="AB", AC89=901, AC89="901"), 0, IF(ISNUMBER(MATCH(UPPER(TRIM(AC89)), {"A+","A","B+","B","C","D","P"}, 0)), 2, 0))</f>
        <v>2</v>
      </c>
      <c r="AV89" s="13">
        <f t="shared" si="102"/>
        <v>25</v>
      </c>
      <c r="AW89">
        <f t="shared" si="103"/>
        <v>25</v>
      </c>
      <c r="AX89" s="1">
        <f t="shared" si="104"/>
        <v>50</v>
      </c>
      <c r="AY89" s="13">
        <f t="shared" si="108"/>
        <v>342</v>
      </c>
    </row>
    <row r="90" spans="1:51">
      <c r="A90" s="7">
        <v>5250809</v>
      </c>
      <c r="B90" s="7"/>
      <c r="C90" s="33" t="s">
        <v>71</v>
      </c>
      <c r="D90" s="1" t="s">
        <v>47</v>
      </c>
      <c r="E90" s="3">
        <v>1</v>
      </c>
      <c r="F90" s="1" t="s">
        <v>48</v>
      </c>
      <c r="G90" s="1">
        <v>1461113</v>
      </c>
      <c r="H90" s="2" t="s">
        <v>54</v>
      </c>
      <c r="I90" s="5" t="s">
        <v>50</v>
      </c>
      <c r="J90" s="1">
        <v>19</v>
      </c>
      <c r="K90" s="13" t="str">
        <f t="shared" si="105"/>
        <v>P</v>
      </c>
      <c r="L90" s="1">
        <v>16</v>
      </c>
      <c r="M90" s="13" t="str">
        <f t="shared" si="106"/>
        <v>P</v>
      </c>
      <c r="AB90" s="7" t="str">
        <f t="shared" si="97"/>
        <v>35</v>
      </c>
      <c r="AC90" s="13" t="str">
        <f t="shared" si="98"/>
        <v>A</v>
      </c>
      <c r="AD90" s="13" t="str">
        <f t="shared" si="109"/>
        <v>342</v>
      </c>
      <c r="AE90" s="1">
        <v>550</v>
      </c>
      <c r="AF90" s="15">
        <f t="shared" si="107"/>
        <v>62.18181818181818</v>
      </c>
      <c r="AG90" s="13" t="str">
        <f t="shared" si="107"/>
        <v>PASS</v>
      </c>
      <c r="AI90" s="1">
        <v>22</v>
      </c>
      <c r="AJ90" s="15">
        <f t="shared" si="110"/>
        <v>22</v>
      </c>
      <c r="AK90" s="16">
        <f t="shared" si="110"/>
        <v>146</v>
      </c>
      <c r="AL90" s="7">
        <f t="shared" si="110"/>
        <v>6.64</v>
      </c>
      <c r="AR90" s="7" t="str">
        <f t="shared" si="99"/>
        <v>B+</v>
      </c>
      <c r="AS90" s="8">
        <f t="shared" si="100"/>
        <v>8</v>
      </c>
      <c r="AT90" s="8">
        <f t="shared" si="101"/>
        <v>16</v>
      </c>
      <c r="AU90" s="13">
        <f>IF(OR(UPPER(TRIM(AC90))="AB", AC90=901, AC90="901"), 0, IF(ISNUMBER(MATCH(UPPER(TRIM(AC90)), {"A+","A","B+","B","C","D","P"}, 0)), 2, 0))</f>
        <v>2</v>
      </c>
      <c r="AV90" s="13">
        <f t="shared" si="102"/>
        <v>35</v>
      </c>
      <c r="AW90">
        <f t="shared" si="103"/>
        <v>35</v>
      </c>
      <c r="AX90" s="1">
        <f t="shared" si="104"/>
        <v>70</v>
      </c>
      <c r="AY90" s="13">
        <f t="shared" si="108"/>
        <v>342</v>
      </c>
    </row>
    <row r="91" spans="1:51">
      <c r="A91" s="7">
        <v>5250809</v>
      </c>
      <c r="B91" s="7"/>
      <c r="C91" s="33" t="s">
        <v>71</v>
      </c>
      <c r="D91" s="1" t="s">
        <v>47</v>
      </c>
      <c r="E91" s="3">
        <v>1</v>
      </c>
      <c r="F91" s="1" t="s">
        <v>48</v>
      </c>
      <c r="G91" s="1">
        <v>1461411</v>
      </c>
      <c r="H91" s="2" t="s">
        <v>55</v>
      </c>
      <c r="I91" s="5" t="s">
        <v>50</v>
      </c>
      <c r="J91" s="1">
        <v>15</v>
      </c>
      <c r="K91" s="13" t="str">
        <f t="shared" si="105"/>
        <v>P</v>
      </c>
      <c r="L91" s="1">
        <v>18</v>
      </c>
      <c r="M91" s="13" t="str">
        <f t="shared" si="106"/>
        <v>P</v>
      </c>
      <c r="AB91" s="7" t="str">
        <f t="shared" si="97"/>
        <v>33</v>
      </c>
      <c r="AC91" s="13" t="str">
        <f t="shared" si="98"/>
        <v>B+</v>
      </c>
      <c r="AD91" s="13" t="str">
        <f t="shared" si="109"/>
        <v>342</v>
      </c>
      <c r="AE91" s="1">
        <v>550</v>
      </c>
      <c r="AF91" s="15">
        <f t="shared" si="107"/>
        <v>62.18181818181818</v>
      </c>
      <c r="AG91" s="13" t="str">
        <f t="shared" si="107"/>
        <v>PASS</v>
      </c>
      <c r="AI91" s="1">
        <v>22</v>
      </c>
      <c r="AJ91" s="15">
        <f t="shared" si="110"/>
        <v>22</v>
      </c>
      <c r="AK91" s="16">
        <f t="shared" si="110"/>
        <v>146</v>
      </c>
      <c r="AL91" s="7">
        <f t="shared" si="110"/>
        <v>6.64</v>
      </c>
      <c r="AR91" s="7" t="str">
        <f t="shared" si="99"/>
        <v>B+</v>
      </c>
      <c r="AS91" s="8">
        <f t="shared" si="100"/>
        <v>7</v>
      </c>
      <c r="AT91" s="8">
        <f t="shared" si="101"/>
        <v>14</v>
      </c>
      <c r="AU91" s="13">
        <f>IF(OR(UPPER(TRIM(AC91))="AB", AC91=901, AC91="901"), 0, IF(ISNUMBER(MATCH(UPPER(TRIM(AC91)), {"A+","A","B+","B","C","D","P"}, 0)), 2, 0))</f>
        <v>2</v>
      </c>
      <c r="AV91" s="13">
        <f t="shared" si="102"/>
        <v>33</v>
      </c>
      <c r="AW91">
        <f t="shared" si="103"/>
        <v>33</v>
      </c>
      <c r="AX91" s="1">
        <f t="shared" si="104"/>
        <v>66</v>
      </c>
      <c r="AY91" s="13">
        <f t="shared" si="108"/>
        <v>342</v>
      </c>
    </row>
    <row r="92" spans="1:51">
      <c r="A92" s="7">
        <v>5250809</v>
      </c>
      <c r="B92" s="7"/>
      <c r="C92" s="33" t="s">
        <v>71</v>
      </c>
      <c r="D92" s="1" t="s">
        <v>47</v>
      </c>
      <c r="E92" s="3">
        <v>1</v>
      </c>
      <c r="F92" s="1" t="s">
        <v>48</v>
      </c>
      <c r="G92" s="1">
        <v>1461412</v>
      </c>
      <c r="H92" s="2" t="s">
        <v>56</v>
      </c>
      <c r="I92" s="5" t="s">
        <v>50</v>
      </c>
      <c r="J92" s="1">
        <v>13</v>
      </c>
      <c r="K92" s="13" t="str">
        <f t="shared" si="105"/>
        <v>P</v>
      </c>
      <c r="L92" s="1">
        <v>12</v>
      </c>
      <c r="M92" s="13" t="str">
        <f t="shared" si="106"/>
        <v>P</v>
      </c>
      <c r="AB92" s="7" t="str">
        <f t="shared" si="97"/>
        <v>25</v>
      </c>
      <c r="AC92" s="13" t="str">
        <f t="shared" si="98"/>
        <v>C</v>
      </c>
      <c r="AD92" s="13" t="str">
        <f t="shared" si="109"/>
        <v>342</v>
      </c>
      <c r="AE92" s="1">
        <v>550</v>
      </c>
      <c r="AF92" s="15">
        <f t="shared" si="107"/>
        <v>62.18181818181818</v>
      </c>
      <c r="AG92" s="13" t="str">
        <f t="shared" si="107"/>
        <v>PASS</v>
      </c>
      <c r="AI92" s="1">
        <v>22</v>
      </c>
      <c r="AJ92" s="15">
        <f t="shared" si="110"/>
        <v>22</v>
      </c>
      <c r="AK92" s="16">
        <f t="shared" si="110"/>
        <v>146</v>
      </c>
      <c r="AL92" s="7">
        <f t="shared" si="110"/>
        <v>6.64</v>
      </c>
      <c r="AR92" s="7" t="str">
        <f t="shared" si="99"/>
        <v>B+</v>
      </c>
      <c r="AS92" s="8">
        <f t="shared" si="100"/>
        <v>5</v>
      </c>
      <c r="AT92" s="8">
        <f t="shared" si="101"/>
        <v>10</v>
      </c>
      <c r="AU92" s="13">
        <f>IF(OR(UPPER(TRIM(AC92))="AB", AC92=901, AC92="901"), 0, IF(ISNUMBER(MATCH(UPPER(TRIM(AC92)), {"A+","A","B+","B","C","D","P"}, 0)), 2, 0))</f>
        <v>2</v>
      </c>
      <c r="AV92" s="13">
        <f t="shared" si="102"/>
        <v>25</v>
      </c>
      <c r="AW92">
        <f t="shared" si="103"/>
        <v>25</v>
      </c>
      <c r="AX92" s="1">
        <f t="shared" si="104"/>
        <v>50</v>
      </c>
      <c r="AY92" s="13">
        <f t="shared" si="108"/>
        <v>342</v>
      </c>
    </row>
    <row r="93" spans="1:51">
      <c r="A93" s="7">
        <v>5250809</v>
      </c>
      <c r="B93" s="7"/>
      <c r="C93" s="33" t="s">
        <v>71</v>
      </c>
      <c r="D93" s="1" t="s">
        <v>47</v>
      </c>
      <c r="E93" s="3">
        <v>1</v>
      </c>
      <c r="F93" s="1" t="s">
        <v>48</v>
      </c>
      <c r="G93" s="1">
        <v>2511515</v>
      </c>
      <c r="H93" s="2" t="s">
        <v>57</v>
      </c>
      <c r="I93" s="5" t="s">
        <v>50</v>
      </c>
      <c r="J93" s="1">
        <v>13</v>
      </c>
      <c r="K93" s="13" t="str">
        <f t="shared" si="105"/>
        <v>P</v>
      </c>
      <c r="L93" s="1">
        <v>19</v>
      </c>
      <c r="M93" s="13" t="str">
        <f t="shared" si="106"/>
        <v>P</v>
      </c>
      <c r="AB93" s="7" t="str">
        <f t="shared" si="97"/>
        <v>32</v>
      </c>
      <c r="AC93" s="13" t="str">
        <f t="shared" si="98"/>
        <v>B+</v>
      </c>
      <c r="AD93" s="13" t="str">
        <f t="shared" si="109"/>
        <v>342</v>
      </c>
      <c r="AE93" s="1">
        <v>550</v>
      </c>
      <c r="AF93" s="15">
        <f t="shared" si="107"/>
        <v>62.18181818181818</v>
      </c>
      <c r="AG93" s="13" t="str">
        <f t="shared" si="107"/>
        <v>PASS</v>
      </c>
      <c r="AI93" s="1">
        <v>22</v>
      </c>
      <c r="AJ93" s="15">
        <f t="shared" si="110"/>
        <v>22</v>
      </c>
      <c r="AK93" s="16">
        <f t="shared" si="110"/>
        <v>146</v>
      </c>
      <c r="AL93" s="7">
        <f t="shared" si="110"/>
        <v>6.64</v>
      </c>
      <c r="AR93" s="7" t="str">
        <f t="shared" si="99"/>
        <v>B+</v>
      </c>
      <c r="AS93" s="8">
        <f t="shared" si="100"/>
        <v>7</v>
      </c>
      <c r="AT93" s="8">
        <f t="shared" si="101"/>
        <v>14</v>
      </c>
      <c r="AU93" s="13">
        <f>IF(OR(UPPER(TRIM(AC93))="AB", AC93=901, AC93="901"), 0, IF(ISNUMBER(MATCH(UPPER(TRIM(AC93)), {"A+","A","B+","B","C","D","P"}, 0)), 2, 0))</f>
        <v>2</v>
      </c>
      <c r="AV93" s="13">
        <f t="shared" si="102"/>
        <v>32</v>
      </c>
      <c r="AW93">
        <f t="shared" si="103"/>
        <v>32</v>
      </c>
      <c r="AX93" s="1">
        <f t="shared" si="104"/>
        <v>64</v>
      </c>
      <c r="AY93" s="13">
        <f t="shared" si="108"/>
        <v>342</v>
      </c>
    </row>
    <row r="94" spans="1:51" s="19" customFormat="1">
      <c r="A94" s="14">
        <v>5250809</v>
      </c>
      <c r="B94" s="14"/>
      <c r="C94" s="34" t="s">
        <v>71</v>
      </c>
      <c r="D94" s="18" t="s">
        <v>47</v>
      </c>
      <c r="E94" s="20">
        <v>1</v>
      </c>
      <c r="F94" s="18" t="s">
        <v>48</v>
      </c>
      <c r="G94" s="18">
        <v>2521615</v>
      </c>
      <c r="H94" s="29" t="s">
        <v>58</v>
      </c>
      <c r="I94" s="22" t="s">
        <v>50</v>
      </c>
      <c r="J94" s="18">
        <v>20</v>
      </c>
      <c r="K94" s="24" t="str">
        <f t="shared" si="105"/>
        <v>P</v>
      </c>
      <c r="L94" s="18">
        <v>23</v>
      </c>
      <c r="M94" s="24" t="str">
        <f t="shared" si="106"/>
        <v>P</v>
      </c>
      <c r="N94" s="20"/>
      <c r="O94" s="20"/>
      <c r="P94" s="20"/>
      <c r="Q94" s="20"/>
      <c r="R94" s="20"/>
      <c r="S94" s="20"/>
      <c r="T94" s="20"/>
      <c r="U94" s="20"/>
      <c r="V94" s="20"/>
      <c r="W94" s="20"/>
      <c r="X94" s="20"/>
      <c r="Y94" s="20"/>
      <c r="Z94" s="20"/>
      <c r="AA94" s="14"/>
      <c r="AB94" s="14" t="str">
        <f t="shared" si="97"/>
        <v>43</v>
      </c>
      <c r="AC94" s="24" t="str">
        <f t="shared" si="98"/>
        <v>A+</v>
      </c>
      <c r="AD94" s="24" t="str">
        <f t="shared" si="109"/>
        <v>342</v>
      </c>
      <c r="AE94" s="18">
        <v>550</v>
      </c>
      <c r="AF94" s="25">
        <f t="shared" si="107"/>
        <v>62.18181818181818</v>
      </c>
      <c r="AG94" s="24" t="str">
        <f t="shared" si="107"/>
        <v>PASS</v>
      </c>
      <c r="AH94" s="26"/>
      <c r="AI94" s="18">
        <v>22</v>
      </c>
      <c r="AJ94" s="25">
        <f t="shared" si="110"/>
        <v>22</v>
      </c>
      <c r="AK94" s="27">
        <f t="shared" si="110"/>
        <v>146</v>
      </c>
      <c r="AL94" s="14">
        <f t="shared" si="110"/>
        <v>6.64</v>
      </c>
      <c r="AM94" s="20"/>
      <c r="AN94" s="20"/>
      <c r="AO94" s="20"/>
      <c r="AP94" s="20"/>
      <c r="AQ94" s="18"/>
      <c r="AR94" s="14" t="str">
        <f t="shared" si="99"/>
        <v>B+</v>
      </c>
      <c r="AS94" s="28">
        <f t="shared" si="100"/>
        <v>9</v>
      </c>
      <c r="AT94" s="28">
        <f t="shared" si="101"/>
        <v>18</v>
      </c>
      <c r="AU94" s="24">
        <f>IF(OR(UPPER(TRIM(AC94))="AB", AC94=901, AC94="901"), 0, IF(ISNUMBER(MATCH(UPPER(TRIM(AC94)), {"A+","A","B+","B","C","D","P"}, 0)), 2, 0))</f>
        <v>2</v>
      </c>
      <c r="AV94" s="24">
        <f t="shared" si="102"/>
        <v>43</v>
      </c>
      <c r="AW94" s="19">
        <f t="shared" si="103"/>
        <v>43</v>
      </c>
      <c r="AX94" s="18">
        <f t="shared" si="104"/>
        <v>86</v>
      </c>
      <c r="AY94" s="24">
        <f t="shared" si="108"/>
        <v>342</v>
      </c>
    </row>
    <row r="95" spans="1:51">
      <c r="A95" s="7">
        <v>5250809</v>
      </c>
      <c r="B95" s="7"/>
      <c r="C95" s="33" t="s">
        <v>71</v>
      </c>
      <c r="D95" s="1" t="s">
        <v>47</v>
      </c>
      <c r="E95" s="3">
        <v>1</v>
      </c>
      <c r="F95" s="1" t="s">
        <v>48</v>
      </c>
      <c r="G95" s="1">
        <v>2531511</v>
      </c>
      <c r="H95" s="2" t="s">
        <v>59</v>
      </c>
      <c r="I95" s="5" t="s">
        <v>50</v>
      </c>
      <c r="J95" s="1">
        <v>18</v>
      </c>
      <c r="K95" s="13" t="str">
        <f t="shared" si="105"/>
        <v>P</v>
      </c>
      <c r="L95" s="1">
        <v>17</v>
      </c>
      <c r="M95" s="13" t="str">
        <f t="shared" si="106"/>
        <v>P</v>
      </c>
      <c r="AB95" s="7" t="str">
        <f t="shared" si="97"/>
        <v>35</v>
      </c>
      <c r="AC95" s="13" t="str">
        <f t="shared" si="98"/>
        <v>A</v>
      </c>
      <c r="AD95" s="13" t="str">
        <f t="shared" si="109"/>
        <v>342</v>
      </c>
      <c r="AE95" s="1">
        <v>550</v>
      </c>
      <c r="AF95" s="15">
        <f t="shared" si="107"/>
        <v>62.18181818181818</v>
      </c>
      <c r="AG95" s="13" t="str">
        <f t="shared" si="107"/>
        <v>PASS</v>
      </c>
      <c r="AI95" s="1">
        <v>22</v>
      </c>
      <c r="AJ95" s="15">
        <f t="shared" si="110"/>
        <v>22</v>
      </c>
      <c r="AK95" s="16">
        <f t="shared" si="110"/>
        <v>146</v>
      </c>
      <c r="AL95" s="7">
        <f t="shared" si="110"/>
        <v>6.64</v>
      </c>
      <c r="AR95" s="7" t="str">
        <f t="shared" si="99"/>
        <v>B+</v>
      </c>
      <c r="AS95" s="8">
        <f t="shared" si="100"/>
        <v>8</v>
      </c>
      <c r="AT95" s="8">
        <f t="shared" si="101"/>
        <v>16</v>
      </c>
      <c r="AU95" s="13">
        <f>IF(OR(UPPER(TRIM(AC95))="AB", AC95=901, AC95="901"), 0, IF(ISNUMBER(MATCH(UPPER(TRIM(AC95)), {"A+","A","B+","B","C","D","P"}, 0)), 2, 0))</f>
        <v>2</v>
      </c>
      <c r="AV95" s="13">
        <f t="shared" si="102"/>
        <v>35</v>
      </c>
      <c r="AW95">
        <f t="shared" si="103"/>
        <v>35</v>
      </c>
      <c r="AX95" s="1">
        <f t="shared" si="104"/>
        <v>70</v>
      </c>
      <c r="AY95" s="13">
        <f t="shared" si="108"/>
        <v>342</v>
      </c>
    </row>
    <row r="96" spans="1:51">
      <c r="A96" s="7">
        <v>5250809</v>
      </c>
      <c r="B96" s="7"/>
      <c r="C96" s="33" t="s">
        <v>71</v>
      </c>
      <c r="D96" s="1" t="s">
        <v>47</v>
      </c>
      <c r="E96" s="3">
        <v>1</v>
      </c>
      <c r="F96" s="1" t="s">
        <v>48</v>
      </c>
      <c r="G96" s="1">
        <v>2541515</v>
      </c>
      <c r="H96" s="2" t="s">
        <v>60</v>
      </c>
      <c r="I96" s="5" t="s">
        <v>50</v>
      </c>
      <c r="J96" s="1">
        <v>15</v>
      </c>
      <c r="K96" s="13" t="str">
        <f t="shared" si="105"/>
        <v>P</v>
      </c>
      <c r="L96" s="6">
        <v>15</v>
      </c>
      <c r="M96" s="13" t="str">
        <f t="shared" si="106"/>
        <v>P</v>
      </c>
      <c r="AB96" s="7" t="str">
        <f t="shared" si="97"/>
        <v>30</v>
      </c>
      <c r="AC96" s="13" t="str">
        <f t="shared" si="98"/>
        <v>B+</v>
      </c>
      <c r="AD96" s="13" t="str">
        <f t="shared" si="109"/>
        <v>342</v>
      </c>
      <c r="AE96" s="1">
        <v>550</v>
      </c>
      <c r="AF96" s="15">
        <f t="shared" si="107"/>
        <v>62.18181818181818</v>
      </c>
      <c r="AG96" s="13" t="str">
        <f t="shared" si="107"/>
        <v>PASS</v>
      </c>
      <c r="AI96" s="1">
        <v>22</v>
      </c>
      <c r="AJ96" s="15">
        <f t="shared" si="110"/>
        <v>22</v>
      </c>
      <c r="AK96" s="16">
        <f t="shared" si="110"/>
        <v>146</v>
      </c>
      <c r="AL96" s="7">
        <f t="shared" si="110"/>
        <v>6.64</v>
      </c>
      <c r="AR96" s="7" t="str">
        <f t="shared" si="99"/>
        <v>B+</v>
      </c>
      <c r="AS96" s="8">
        <f t="shared" si="100"/>
        <v>7</v>
      </c>
      <c r="AT96" s="8">
        <f t="shared" si="101"/>
        <v>14</v>
      </c>
      <c r="AU96" s="13">
        <f>IF(OR(UPPER(TRIM(AC96))="AB", AC96=901, AC96="901"), 0, IF(ISNUMBER(MATCH(UPPER(TRIM(AC96)), {"A+","A","B+","B","C","D","P"}, 0)), 2, 0))</f>
        <v>2</v>
      </c>
      <c r="AV96" s="13">
        <f t="shared" si="102"/>
        <v>30</v>
      </c>
      <c r="AW96">
        <f t="shared" si="103"/>
        <v>30</v>
      </c>
      <c r="AX96" s="1">
        <f t="shared" si="104"/>
        <v>60</v>
      </c>
      <c r="AY96" s="13">
        <f t="shared" si="108"/>
        <v>342</v>
      </c>
    </row>
    <row r="98" spans="1:51">
      <c r="A98" s="7">
        <v>5231865</v>
      </c>
      <c r="B98" s="7"/>
      <c r="C98" s="33" t="s">
        <v>72</v>
      </c>
      <c r="D98" s="1" t="s">
        <v>47</v>
      </c>
      <c r="E98" s="3">
        <v>1</v>
      </c>
      <c r="F98" s="1" t="s">
        <v>48</v>
      </c>
      <c r="G98" s="1">
        <v>1011312</v>
      </c>
      <c r="H98" s="2" t="s">
        <v>49</v>
      </c>
      <c r="I98" s="5" t="s">
        <v>50</v>
      </c>
      <c r="J98" s="6">
        <v>901</v>
      </c>
      <c r="K98" s="13" t="str">
        <f>IF(OR(UPPER(TRIM(J98))="AB",J98=901,J98="901"),"F",IF(J98&gt;=8,"P","F"))</f>
        <v>F</v>
      </c>
      <c r="L98" s="1">
        <v>901</v>
      </c>
      <c r="M98" s="13" t="str">
        <f>IF(OR(UPPER(TRIM(L98))="AB",L98=901,L98="901"),"F",IF(L98&gt;=8,"P","F"))</f>
        <v>F</v>
      </c>
      <c r="N98" s="13"/>
      <c r="O98" s="13"/>
      <c r="P98" s="13"/>
      <c r="Q98" s="13"/>
      <c r="R98" s="13"/>
      <c r="S98" s="13"/>
      <c r="T98" s="13"/>
      <c r="U98" s="13"/>
      <c r="V98" s="13"/>
      <c r="W98" s="13"/>
      <c r="X98" s="13"/>
      <c r="Y98" s="13"/>
      <c r="Z98" s="13"/>
      <c r="AB98" s="7" t="str">
        <f t="shared" ref="AB98:AB108" si="111">AV98 &amp; IF(AA98&lt;&gt;"", " @ " &amp; AA98, "")</f>
        <v>0</v>
      </c>
      <c r="AC98" s="13" t="str">
        <f t="shared" ref="AC98:AC108" si="112">IF(AX98&gt;=90,"O",
IF(AX98&gt;=80,"A+",
IF(AX98&gt;=70,"A",
IF(AX98&gt;=60,"B+",
IF(AX98&gt;=55,"B",
IF(AX98&gt;=50,"C",
IF(AX98&gt;=40,"D","F")))))))</f>
        <v>F</v>
      </c>
      <c r="AD98" s="13" t="str">
        <f>SUM(AV98:AV108) &amp; IF(SUM(AA98:AA108)&gt;0, " @ " &amp; SUM(AA98:AA108), "")</f>
        <v>219</v>
      </c>
      <c r="AE98" s="1">
        <v>550</v>
      </c>
      <c r="AF98" s="15">
        <f>AY98/AE98*100</f>
        <v>39.81818181818182</v>
      </c>
      <c r="AG98" s="13" t="str" cm="1">
        <f t="array" ref="AG98">IF(
  SUMPRODUCT(--(IFERROR(VALUE(J98:J108),9999)&lt;8))
  + SUMPRODUCT(--(IFERROR(VALUE(L98:L108),9999)&lt;12))
  + COUNTIF(J98:J108,"AB") + COUNTIF(L98:L108,"AB")
  + COUNTIF(J98:J108,901) + COUNTIF(L98:L108,901) &gt; 0,
  "ATKT",
  "PASS"
)</f>
        <v>ATKT</v>
      </c>
      <c r="AI98" s="1">
        <v>22</v>
      </c>
      <c r="AJ98" s="15">
        <f>SUM(AU98:AU108)</f>
        <v>16</v>
      </c>
      <c r="AK98" s="16">
        <f>SUM(AT98:AT108)</f>
        <v>66</v>
      </c>
      <c r="AL98" s="7">
        <f>IF(UPPER(TRIM(AG98))="ATKT",0,ROUND( (SUM(AT98:AT108) /22), 2))</f>
        <v>0</v>
      </c>
      <c r="AR98" s="7" t="str">
        <f t="shared" ref="AR98:AR108" si="113">IF(AL98&gt;=9,"O", IF(AL98&gt;=8,"A+", IF(AL98&gt;=7,"A", IF(AL98&gt;=6,"B+", IF(AL98&gt;=5.5,"B", IF(AL98&gt;=5,"C", IF(AL98&gt;=4,"D","F")))))))</f>
        <v>F</v>
      </c>
      <c r="AS98" s="8">
        <f t="shared" ref="AS98:AS108" si="114">IF(AX98&gt;=90,10,
IF(AX98&gt;=80,9,
IF(AX98&gt;=70,8,
IF(AX98&gt;=60,7,
IF(AX98&gt;=55,6,
IF(AX98&gt;=50,5,
IF(AX98&gt;=40,4,0)))))))</f>
        <v>0</v>
      </c>
      <c r="AT98" s="8">
        <f t="shared" ref="AT98:AT108" si="115">AS98*I98</f>
        <v>0</v>
      </c>
      <c r="AU98" s="13">
        <f>IF(OR(UPPER(TRIM(AC98))="AB", AC98=901, AC98="901"), 0, IF(ISNUMBER(MATCH(UPPER(TRIM(AC98)), {"A+","A","B+","B","C","D","P"}, 0)), 2, 0))</f>
        <v>0</v>
      </c>
      <c r="AV98" s="13">
        <f t="shared" ref="AV98:AV108" si="116">SUM(
IF(OR(UPPER(TRIM(J98))="AB",J98=901,J98="901"),0,IFERROR(VALUE(J98),0)),
IF(OR(UPPER(TRIM(L98))="AB",L98=901,L98="901"),0,IFERROR(VALUE(L98),0)),
IF(OR(UPPER(TRIM(N98))="AB",N98=901,N98="901"),0,IFERROR(VALUE(N98),0))
)</f>
        <v>0</v>
      </c>
      <c r="AW98">
        <f t="shared" ref="AW98:AW108" si="117">AA98+AV98</f>
        <v>0</v>
      </c>
      <c r="AX98" s="1">
        <f t="shared" ref="AX98:AX108" si="118">(AW98 / 50) * 100</f>
        <v>0</v>
      </c>
      <c r="AY98" s="13">
        <f>SUM(AW98:AW108)</f>
        <v>219</v>
      </c>
    </row>
    <row r="99" spans="1:51">
      <c r="A99" s="7">
        <v>5231865</v>
      </c>
      <c r="B99" s="7"/>
      <c r="C99" s="33" t="s">
        <v>72</v>
      </c>
      <c r="D99" s="1" t="s">
        <v>47</v>
      </c>
      <c r="E99" s="3">
        <v>1</v>
      </c>
      <c r="F99" s="1" t="s">
        <v>48</v>
      </c>
      <c r="G99" s="1">
        <v>1171312</v>
      </c>
      <c r="H99" s="2" t="s">
        <v>51</v>
      </c>
      <c r="I99" s="5" t="s">
        <v>50</v>
      </c>
      <c r="J99" s="1">
        <v>12</v>
      </c>
      <c r="K99" s="13" t="str">
        <f t="shared" ref="K99:K108" si="119">IF(OR(UPPER(TRIM(J99))="AB",J99=901,J99="901"),"F",IF(J99&gt;=8,"P","F"))</f>
        <v>P</v>
      </c>
      <c r="L99" s="1">
        <v>12</v>
      </c>
      <c r="M99" s="13" t="str">
        <f t="shared" ref="M99:M108" si="120">IF(OR(UPPER(TRIM(L99))="AB",L99=901,L99="901"),"F",IF(L99&gt;=8,"P","F"))</f>
        <v>P</v>
      </c>
      <c r="AB99" s="7" t="str">
        <f t="shared" si="111"/>
        <v>24</v>
      </c>
      <c r="AC99" s="13" t="str">
        <f t="shared" si="112"/>
        <v>D</v>
      </c>
      <c r="AD99" s="13" t="str">
        <f>AD98</f>
        <v>219</v>
      </c>
      <c r="AE99" s="1">
        <v>550</v>
      </c>
      <c r="AF99" s="15">
        <f t="shared" ref="AF99:AG108" si="121">AF98</f>
        <v>39.81818181818182</v>
      </c>
      <c r="AG99" s="13" t="str">
        <f t="shared" si="121"/>
        <v>ATKT</v>
      </c>
      <c r="AI99" s="1">
        <v>22</v>
      </c>
      <c r="AJ99" s="15">
        <f>AJ98</f>
        <v>16</v>
      </c>
      <c r="AK99" s="16">
        <f>AK98</f>
        <v>66</v>
      </c>
      <c r="AL99" s="7">
        <f>AL98</f>
        <v>0</v>
      </c>
      <c r="AR99" s="7" t="str">
        <f t="shared" si="113"/>
        <v>F</v>
      </c>
      <c r="AS99" s="8">
        <f t="shared" si="114"/>
        <v>4</v>
      </c>
      <c r="AT99" s="8">
        <f t="shared" si="115"/>
        <v>8</v>
      </c>
      <c r="AU99" s="13">
        <f>IF(OR(UPPER(TRIM(AC99))="AB", AC99=901, AC99="901"), 0, IF(ISNUMBER(MATCH(UPPER(TRIM(AC99)), {"A+","A","B+","B","C","D","P"}, 0)), 2, 0))</f>
        <v>2</v>
      </c>
      <c r="AV99" s="13">
        <f t="shared" si="116"/>
        <v>24</v>
      </c>
      <c r="AW99">
        <f t="shared" si="117"/>
        <v>24</v>
      </c>
      <c r="AX99" s="1">
        <f t="shared" si="118"/>
        <v>48</v>
      </c>
      <c r="AY99" s="13">
        <f t="shared" ref="AY99:AY108" si="122">AY98</f>
        <v>219</v>
      </c>
    </row>
    <row r="100" spans="1:51">
      <c r="A100" s="7">
        <v>5231865</v>
      </c>
      <c r="B100" s="7"/>
      <c r="C100" s="33" t="s">
        <v>72</v>
      </c>
      <c r="D100" s="1" t="s">
        <v>47</v>
      </c>
      <c r="E100" s="3">
        <v>1</v>
      </c>
      <c r="F100" s="1" t="s">
        <v>48</v>
      </c>
      <c r="G100" s="1">
        <v>1461111</v>
      </c>
      <c r="H100" s="2" t="s">
        <v>52</v>
      </c>
      <c r="I100" s="5" t="s">
        <v>50</v>
      </c>
      <c r="J100" s="1">
        <v>12</v>
      </c>
      <c r="K100" s="13" t="str">
        <f t="shared" si="119"/>
        <v>P</v>
      </c>
      <c r="L100" s="1">
        <v>12</v>
      </c>
      <c r="M100" s="13" t="str">
        <f t="shared" si="120"/>
        <v>P</v>
      </c>
      <c r="AB100" s="7" t="str">
        <f t="shared" si="111"/>
        <v>24</v>
      </c>
      <c r="AC100" s="13" t="str">
        <f t="shared" si="112"/>
        <v>D</v>
      </c>
      <c r="AD100" s="13" t="str">
        <f t="shared" ref="AD100:AD108" si="123">AD99</f>
        <v>219</v>
      </c>
      <c r="AE100" s="1">
        <v>550</v>
      </c>
      <c r="AF100" s="15">
        <f t="shared" si="121"/>
        <v>39.81818181818182</v>
      </c>
      <c r="AG100" s="13" t="str">
        <f t="shared" si="121"/>
        <v>ATKT</v>
      </c>
      <c r="AI100" s="1">
        <v>22</v>
      </c>
      <c r="AJ100" s="15">
        <f t="shared" ref="AJ100:AL108" si="124">AJ99</f>
        <v>16</v>
      </c>
      <c r="AK100" s="16">
        <f t="shared" si="124"/>
        <v>66</v>
      </c>
      <c r="AL100" s="7">
        <f t="shared" si="124"/>
        <v>0</v>
      </c>
      <c r="AR100" s="7" t="str">
        <f t="shared" si="113"/>
        <v>F</v>
      </c>
      <c r="AS100" s="8">
        <f t="shared" si="114"/>
        <v>4</v>
      </c>
      <c r="AT100" s="8">
        <f t="shared" si="115"/>
        <v>8</v>
      </c>
      <c r="AU100" s="13">
        <f>IF(OR(UPPER(TRIM(AC100))="AB", AC100=901, AC100="901"), 0, IF(ISNUMBER(MATCH(UPPER(TRIM(AC100)), {"A+","A","B+","B","C","D","P"}, 0)), 2, 0))</f>
        <v>2</v>
      </c>
      <c r="AV100" s="13">
        <f t="shared" si="116"/>
        <v>24</v>
      </c>
      <c r="AW100">
        <f t="shared" si="117"/>
        <v>24</v>
      </c>
      <c r="AX100" s="1">
        <f t="shared" si="118"/>
        <v>48</v>
      </c>
      <c r="AY100" s="13">
        <f t="shared" si="122"/>
        <v>219</v>
      </c>
    </row>
    <row r="101" spans="1:51">
      <c r="A101" s="7">
        <v>5231865</v>
      </c>
      <c r="B101" s="7"/>
      <c r="C101" s="33" t="s">
        <v>72</v>
      </c>
      <c r="D101" s="1" t="s">
        <v>47</v>
      </c>
      <c r="E101" s="3">
        <v>1</v>
      </c>
      <c r="F101" s="1" t="s">
        <v>48</v>
      </c>
      <c r="G101" s="1">
        <v>1461112</v>
      </c>
      <c r="H101" s="2" t="s">
        <v>53</v>
      </c>
      <c r="I101" s="5" t="s">
        <v>50</v>
      </c>
      <c r="J101" s="1">
        <v>12</v>
      </c>
      <c r="K101" s="13" t="str">
        <f t="shared" si="119"/>
        <v>P</v>
      </c>
      <c r="L101" s="1">
        <v>2</v>
      </c>
      <c r="M101" s="13" t="str">
        <f t="shared" si="120"/>
        <v>F</v>
      </c>
      <c r="AB101" s="7" t="str">
        <f t="shared" si="111"/>
        <v>14</v>
      </c>
      <c r="AC101" s="13" t="str">
        <f t="shared" si="112"/>
        <v>F</v>
      </c>
      <c r="AD101" s="13" t="str">
        <f t="shared" si="123"/>
        <v>219</v>
      </c>
      <c r="AE101" s="1">
        <v>550</v>
      </c>
      <c r="AF101" s="15">
        <f t="shared" si="121"/>
        <v>39.81818181818182</v>
      </c>
      <c r="AG101" s="13" t="str">
        <f t="shared" si="121"/>
        <v>ATKT</v>
      </c>
      <c r="AI101" s="1">
        <v>22</v>
      </c>
      <c r="AJ101" s="15">
        <f t="shared" si="124"/>
        <v>16</v>
      </c>
      <c r="AK101" s="16">
        <f t="shared" si="124"/>
        <v>66</v>
      </c>
      <c r="AL101" s="7">
        <f t="shared" si="124"/>
        <v>0</v>
      </c>
      <c r="AR101" s="7" t="str">
        <f t="shared" si="113"/>
        <v>F</v>
      </c>
      <c r="AS101" s="8">
        <f t="shared" si="114"/>
        <v>0</v>
      </c>
      <c r="AT101" s="8">
        <f t="shared" si="115"/>
        <v>0</v>
      </c>
      <c r="AU101" s="13">
        <f>IF(OR(UPPER(TRIM(AC101))="AB", AC101=901, AC101="901"), 0, IF(ISNUMBER(MATCH(UPPER(TRIM(AC101)), {"A+","A","B+","B","C","D","P"}, 0)), 2, 0))</f>
        <v>0</v>
      </c>
      <c r="AV101" s="13">
        <f t="shared" si="116"/>
        <v>14</v>
      </c>
      <c r="AW101">
        <f t="shared" si="117"/>
        <v>14</v>
      </c>
      <c r="AX101" s="1">
        <f t="shared" si="118"/>
        <v>28.000000000000004</v>
      </c>
      <c r="AY101" s="13">
        <f t="shared" si="122"/>
        <v>219</v>
      </c>
    </row>
    <row r="102" spans="1:51">
      <c r="A102" s="7">
        <v>5231865</v>
      </c>
      <c r="B102" s="7"/>
      <c r="C102" s="33" t="s">
        <v>72</v>
      </c>
      <c r="D102" s="1" t="s">
        <v>47</v>
      </c>
      <c r="E102" s="3">
        <v>1</v>
      </c>
      <c r="F102" s="1" t="s">
        <v>48</v>
      </c>
      <c r="G102" s="1">
        <v>1461113</v>
      </c>
      <c r="H102" s="2" t="s">
        <v>54</v>
      </c>
      <c r="I102" s="5" t="s">
        <v>50</v>
      </c>
      <c r="J102" s="1">
        <v>10</v>
      </c>
      <c r="K102" s="13" t="str">
        <f t="shared" si="119"/>
        <v>P</v>
      </c>
      <c r="L102" s="1">
        <v>12</v>
      </c>
      <c r="M102" s="13" t="str">
        <f t="shared" si="120"/>
        <v>P</v>
      </c>
      <c r="AB102" s="7" t="str">
        <f t="shared" si="111"/>
        <v>22</v>
      </c>
      <c r="AC102" s="13" t="str">
        <f t="shared" si="112"/>
        <v>D</v>
      </c>
      <c r="AD102" s="13" t="str">
        <f t="shared" si="123"/>
        <v>219</v>
      </c>
      <c r="AE102" s="1">
        <v>550</v>
      </c>
      <c r="AF102" s="15">
        <f t="shared" si="121"/>
        <v>39.81818181818182</v>
      </c>
      <c r="AG102" s="13" t="str">
        <f t="shared" si="121"/>
        <v>ATKT</v>
      </c>
      <c r="AI102" s="1">
        <v>22</v>
      </c>
      <c r="AJ102" s="15">
        <f t="shared" si="124"/>
        <v>16</v>
      </c>
      <c r="AK102" s="16">
        <f t="shared" si="124"/>
        <v>66</v>
      </c>
      <c r="AL102" s="7">
        <f t="shared" si="124"/>
        <v>0</v>
      </c>
      <c r="AR102" s="7" t="str">
        <f t="shared" si="113"/>
        <v>F</v>
      </c>
      <c r="AS102" s="8">
        <f t="shared" si="114"/>
        <v>4</v>
      </c>
      <c r="AT102" s="8">
        <f t="shared" si="115"/>
        <v>8</v>
      </c>
      <c r="AU102" s="13">
        <f>IF(OR(UPPER(TRIM(AC102))="AB", AC102=901, AC102="901"), 0, IF(ISNUMBER(MATCH(UPPER(TRIM(AC102)), {"A+","A","B+","B","C","D","P"}, 0)), 2, 0))</f>
        <v>2</v>
      </c>
      <c r="AV102" s="13">
        <f t="shared" si="116"/>
        <v>22</v>
      </c>
      <c r="AW102">
        <f t="shared" si="117"/>
        <v>22</v>
      </c>
      <c r="AX102" s="1">
        <f t="shared" si="118"/>
        <v>44</v>
      </c>
      <c r="AY102" s="13">
        <f t="shared" si="122"/>
        <v>219</v>
      </c>
    </row>
    <row r="103" spans="1:51">
      <c r="A103" s="7">
        <v>5231865</v>
      </c>
      <c r="B103" s="7"/>
      <c r="C103" s="33" t="s">
        <v>72</v>
      </c>
      <c r="D103" s="1" t="s">
        <v>47</v>
      </c>
      <c r="E103" s="3">
        <v>1</v>
      </c>
      <c r="F103" s="1" t="s">
        <v>48</v>
      </c>
      <c r="G103" s="1">
        <v>1461411</v>
      </c>
      <c r="H103" s="2" t="s">
        <v>55</v>
      </c>
      <c r="I103" s="5" t="s">
        <v>50</v>
      </c>
      <c r="J103" s="1">
        <v>11</v>
      </c>
      <c r="K103" s="13" t="str">
        <f t="shared" si="119"/>
        <v>P</v>
      </c>
      <c r="L103" s="1">
        <v>4</v>
      </c>
      <c r="M103" s="13" t="str">
        <f t="shared" si="120"/>
        <v>F</v>
      </c>
      <c r="AB103" s="7" t="str">
        <f t="shared" si="111"/>
        <v>15</v>
      </c>
      <c r="AC103" s="13" t="str">
        <f t="shared" si="112"/>
        <v>F</v>
      </c>
      <c r="AD103" s="13" t="str">
        <f t="shared" si="123"/>
        <v>219</v>
      </c>
      <c r="AE103" s="1">
        <v>550</v>
      </c>
      <c r="AF103" s="15">
        <f t="shared" si="121"/>
        <v>39.81818181818182</v>
      </c>
      <c r="AG103" s="13" t="str">
        <f t="shared" si="121"/>
        <v>ATKT</v>
      </c>
      <c r="AI103" s="1">
        <v>22</v>
      </c>
      <c r="AJ103" s="15">
        <f t="shared" si="124"/>
        <v>16</v>
      </c>
      <c r="AK103" s="16">
        <f t="shared" si="124"/>
        <v>66</v>
      </c>
      <c r="AL103" s="7">
        <f t="shared" si="124"/>
        <v>0</v>
      </c>
      <c r="AR103" s="7" t="str">
        <f t="shared" si="113"/>
        <v>F</v>
      </c>
      <c r="AS103" s="8">
        <f t="shared" si="114"/>
        <v>0</v>
      </c>
      <c r="AT103" s="8">
        <f t="shared" si="115"/>
        <v>0</v>
      </c>
      <c r="AU103" s="13">
        <f>IF(OR(UPPER(TRIM(AC103))="AB", AC103=901, AC103="901"), 0, IF(ISNUMBER(MATCH(UPPER(TRIM(AC103)), {"A+","A","B+","B","C","D","P"}, 0)), 2, 0))</f>
        <v>0</v>
      </c>
      <c r="AV103" s="13">
        <f t="shared" si="116"/>
        <v>15</v>
      </c>
      <c r="AW103">
        <f t="shared" si="117"/>
        <v>15</v>
      </c>
      <c r="AX103" s="1">
        <f t="shared" si="118"/>
        <v>30</v>
      </c>
      <c r="AY103" s="13">
        <f t="shared" si="122"/>
        <v>219</v>
      </c>
    </row>
    <row r="104" spans="1:51">
      <c r="A104" s="7">
        <v>5231865</v>
      </c>
      <c r="B104" s="7"/>
      <c r="C104" s="33" t="s">
        <v>72</v>
      </c>
      <c r="D104" s="1" t="s">
        <v>47</v>
      </c>
      <c r="E104" s="3">
        <v>1</v>
      </c>
      <c r="F104" s="1" t="s">
        <v>48</v>
      </c>
      <c r="G104" s="1">
        <v>1461412</v>
      </c>
      <c r="H104" s="2" t="s">
        <v>56</v>
      </c>
      <c r="I104" s="5" t="s">
        <v>50</v>
      </c>
      <c r="J104" s="1">
        <v>12</v>
      </c>
      <c r="K104" s="13" t="str">
        <f t="shared" si="119"/>
        <v>P</v>
      </c>
      <c r="L104" s="1">
        <v>12</v>
      </c>
      <c r="M104" s="13" t="str">
        <f t="shared" si="120"/>
        <v>P</v>
      </c>
      <c r="AB104" s="7" t="str">
        <f t="shared" si="111"/>
        <v>24</v>
      </c>
      <c r="AC104" s="13" t="str">
        <f t="shared" si="112"/>
        <v>D</v>
      </c>
      <c r="AD104" s="13" t="str">
        <f t="shared" si="123"/>
        <v>219</v>
      </c>
      <c r="AE104" s="1">
        <v>550</v>
      </c>
      <c r="AF104" s="15">
        <f t="shared" si="121"/>
        <v>39.81818181818182</v>
      </c>
      <c r="AG104" s="13" t="str">
        <f t="shared" si="121"/>
        <v>ATKT</v>
      </c>
      <c r="AI104" s="1">
        <v>22</v>
      </c>
      <c r="AJ104" s="15">
        <f t="shared" si="124"/>
        <v>16</v>
      </c>
      <c r="AK104" s="16">
        <f t="shared" si="124"/>
        <v>66</v>
      </c>
      <c r="AL104" s="7">
        <f t="shared" si="124"/>
        <v>0</v>
      </c>
      <c r="AR104" s="7" t="str">
        <f t="shared" si="113"/>
        <v>F</v>
      </c>
      <c r="AS104" s="8">
        <f t="shared" si="114"/>
        <v>4</v>
      </c>
      <c r="AT104" s="8">
        <f t="shared" si="115"/>
        <v>8</v>
      </c>
      <c r="AU104" s="13">
        <f>IF(OR(UPPER(TRIM(AC104))="AB", AC104=901, AC104="901"), 0, IF(ISNUMBER(MATCH(UPPER(TRIM(AC104)), {"A+","A","B+","B","C","D","P"}, 0)), 2, 0))</f>
        <v>2</v>
      </c>
      <c r="AV104" s="13">
        <f t="shared" si="116"/>
        <v>24</v>
      </c>
      <c r="AW104">
        <f t="shared" si="117"/>
        <v>24</v>
      </c>
      <c r="AX104" s="1">
        <f t="shared" si="118"/>
        <v>48</v>
      </c>
      <c r="AY104" s="13">
        <f t="shared" si="122"/>
        <v>219</v>
      </c>
    </row>
    <row r="105" spans="1:51">
      <c r="A105" s="7">
        <v>5231865</v>
      </c>
      <c r="B105" s="7"/>
      <c r="C105" s="33" t="s">
        <v>72</v>
      </c>
      <c r="D105" s="1" t="s">
        <v>47</v>
      </c>
      <c r="E105" s="3">
        <v>1</v>
      </c>
      <c r="F105" s="1" t="s">
        <v>48</v>
      </c>
      <c r="G105" s="1">
        <v>2511515</v>
      </c>
      <c r="H105" s="2" t="s">
        <v>57</v>
      </c>
      <c r="I105" s="5" t="s">
        <v>50</v>
      </c>
      <c r="J105" s="1">
        <v>12</v>
      </c>
      <c r="K105" s="13" t="str">
        <f t="shared" si="119"/>
        <v>P</v>
      </c>
      <c r="L105" s="1">
        <v>12</v>
      </c>
      <c r="M105" s="13" t="str">
        <f t="shared" si="120"/>
        <v>P</v>
      </c>
      <c r="AB105" s="7" t="str">
        <f t="shared" si="111"/>
        <v>24</v>
      </c>
      <c r="AC105" s="13" t="str">
        <f t="shared" si="112"/>
        <v>D</v>
      </c>
      <c r="AD105" s="13" t="str">
        <f t="shared" si="123"/>
        <v>219</v>
      </c>
      <c r="AE105" s="1">
        <v>550</v>
      </c>
      <c r="AF105" s="15">
        <f t="shared" si="121"/>
        <v>39.81818181818182</v>
      </c>
      <c r="AG105" s="13" t="str">
        <f t="shared" si="121"/>
        <v>ATKT</v>
      </c>
      <c r="AI105" s="1">
        <v>22</v>
      </c>
      <c r="AJ105" s="15">
        <f t="shared" si="124"/>
        <v>16</v>
      </c>
      <c r="AK105" s="16">
        <f t="shared" si="124"/>
        <v>66</v>
      </c>
      <c r="AL105" s="7">
        <f t="shared" si="124"/>
        <v>0</v>
      </c>
      <c r="AR105" s="7" t="str">
        <f t="shared" si="113"/>
        <v>F</v>
      </c>
      <c r="AS105" s="8">
        <f t="shared" si="114"/>
        <v>4</v>
      </c>
      <c r="AT105" s="8">
        <f t="shared" si="115"/>
        <v>8</v>
      </c>
      <c r="AU105" s="13">
        <f>IF(OR(UPPER(TRIM(AC105))="AB", AC105=901, AC105="901"), 0, IF(ISNUMBER(MATCH(UPPER(TRIM(AC105)), {"A+","A","B+","B","C","D","P"}, 0)), 2, 0))</f>
        <v>2</v>
      </c>
      <c r="AV105" s="13">
        <f t="shared" si="116"/>
        <v>24</v>
      </c>
      <c r="AW105">
        <f t="shared" si="117"/>
        <v>24</v>
      </c>
      <c r="AX105" s="1">
        <f t="shared" si="118"/>
        <v>48</v>
      </c>
      <c r="AY105" s="13">
        <f t="shared" si="122"/>
        <v>219</v>
      </c>
    </row>
    <row r="106" spans="1:51">
      <c r="A106" s="7">
        <v>5231865</v>
      </c>
      <c r="B106" s="7"/>
      <c r="C106" s="33" t="s">
        <v>72</v>
      </c>
      <c r="D106" s="1" t="s">
        <v>47</v>
      </c>
      <c r="E106" s="3">
        <v>1</v>
      </c>
      <c r="F106" s="1" t="s">
        <v>48</v>
      </c>
      <c r="G106" s="1">
        <v>2521615</v>
      </c>
      <c r="H106" s="4" t="s">
        <v>58</v>
      </c>
      <c r="I106" s="5" t="s">
        <v>50</v>
      </c>
      <c r="J106" s="1">
        <v>10</v>
      </c>
      <c r="K106" s="13" t="str">
        <f t="shared" si="119"/>
        <v>P</v>
      </c>
      <c r="L106" s="1">
        <v>12</v>
      </c>
      <c r="M106" s="13" t="str">
        <f t="shared" si="120"/>
        <v>P</v>
      </c>
      <c r="AB106" s="7" t="str">
        <f t="shared" si="111"/>
        <v>22</v>
      </c>
      <c r="AC106" s="13" t="str">
        <f t="shared" si="112"/>
        <v>D</v>
      </c>
      <c r="AD106" s="13" t="str">
        <f t="shared" si="123"/>
        <v>219</v>
      </c>
      <c r="AE106" s="1">
        <v>550</v>
      </c>
      <c r="AF106" s="15">
        <f t="shared" si="121"/>
        <v>39.81818181818182</v>
      </c>
      <c r="AG106" s="13" t="str">
        <f t="shared" si="121"/>
        <v>ATKT</v>
      </c>
      <c r="AI106" s="1">
        <v>22</v>
      </c>
      <c r="AJ106" s="15">
        <f t="shared" si="124"/>
        <v>16</v>
      </c>
      <c r="AK106" s="16">
        <f t="shared" si="124"/>
        <v>66</v>
      </c>
      <c r="AL106" s="7">
        <f t="shared" si="124"/>
        <v>0</v>
      </c>
      <c r="AR106" s="7" t="str">
        <f t="shared" si="113"/>
        <v>F</v>
      </c>
      <c r="AS106" s="8">
        <f t="shared" si="114"/>
        <v>4</v>
      </c>
      <c r="AT106" s="8">
        <f t="shared" si="115"/>
        <v>8</v>
      </c>
      <c r="AU106" s="13">
        <f>IF(OR(UPPER(TRIM(AC106))="AB", AC106=901, AC106="901"), 0, IF(ISNUMBER(MATCH(UPPER(TRIM(AC106)), {"A+","A","B+","B","C","D","P"}, 0)), 2, 0))</f>
        <v>2</v>
      </c>
      <c r="AV106" s="13">
        <f t="shared" si="116"/>
        <v>22</v>
      </c>
      <c r="AW106">
        <f t="shared" si="117"/>
        <v>22</v>
      </c>
      <c r="AX106" s="1">
        <f t="shared" si="118"/>
        <v>44</v>
      </c>
      <c r="AY106" s="13">
        <f t="shared" si="122"/>
        <v>219</v>
      </c>
    </row>
    <row r="107" spans="1:51">
      <c r="A107" s="7">
        <v>5231865</v>
      </c>
      <c r="B107" s="7"/>
      <c r="C107" s="33" t="s">
        <v>72</v>
      </c>
      <c r="D107" s="1" t="s">
        <v>47</v>
      </c>
      <c r="E107" s="3">
        <v>1</v>
      </c>
      <c r="F107" s="1" t="s">
        <v>48</v>
      </c>
      <c r="G107" s="1">
        <v>2531511</v>
      </c>
      <c r="H107" s="2" t="s">
        <v>59</v>
      </c>
      <c r="I107" s="5" t="s">
        <v>50</v>
      </c>
      <c r="J107" s="1">
        <v>14</v>
      </c>
      <c r="K107" s="13" t="str">
        <f t="shared" si="119"/>
        <v>P</v>
      </c>
      <c r="L107" s="1">
        <v>12</v>
      </c>
      <c r="M107" s="13" t="str">
        <f t="shared" si="120"/>
        <v>P</v>
      </c>
      <c r="AB107" s="7" t="str">
        <f t="shared" si="111"/>
        <v>26</v>
      </c>
      <c r="AC107" s="13" t="str">
        <f t="shared" si="112"/>
        <v>C</v>
      </c>
      <c r="AD107" s="13" t="str">
        <f t="shared" si="123"/>
        <v>219</v>
      </c>
      <c r="AE107" s="1">
        <v>550</v>
      </c>
      <c r="AF107" s="15">
        <f t="shared" si="121"/>
        <v>39.81818181818182</v>
      </c>
      <c r="AG107" s="13" t="str">
        <f t="shared" si="121"/>
        <v>ATKT</v>
      </c>
      <c r="AI107" s="1">
        <v>22</v>
      </c>
      <c r="AJ107" s="15">
        <f t="shared" si="124"/>
        <v>16</v>
      </c>
      <c r="AK107" s="16">
        <f t="shared" si="124"/>
        <v>66</v>
      </c>
      <c r="AL107" s="7">
        <f t="shared" si="124"/>
        <v>0</v>
      </c>
      <c r="AR107" s="7" t="str">
        <f t="shared" si="113"/>
        <v>F</v>
      </c>
      <c r="AS107" s="8">
        <f t="shared" si="114"/>
        <v>5</v>
      </c>
      <c r="AT107" s="8">
        <f t="shared" si="115"/>
        <v>10</v>
      </c>
      <c r="AU107" s="13">
        <f>IF(OR(UPPER(TRIM(AC107))="AB", AC107=901, AC107="901"), 0, IF(ISNUMBER(MATCH(UPPER(TRIM(AC107)), {"A+","A","B+","B","C","D","P"}, 0)), 2, 0))</f>
        <v>2</v>
      </c>
      <c r="AV107" s="13">
        <f t="shared" si="116"/>
        <v>26</v>
      </c>
      <c r="AW107">
        <f t="shared" si="117"/>
        <v>26</v>
      </c>
      <c r="AX107" s="1">
        <f t="shared" si="118"/>
        <v>52</v>
      </c>
      <c r="AY107" s="13">
        <f t="shared" si="122"/>
        <v>219</v>
      </c>
    </row>
    <row r="108" spans="1:51">
      <c r="A108" s="7">
        <v>5231865</v>
      </c>
      <c r="B108" s="7"/>
      <c r="C108" s="33" t="s">
        <v>72</v>
      </c>
      <c r="D108" s="1" t="s">
        <v>47</v>
      </c>
      <c r="E108" s="3">
        <v>1</v>
      </c>
      <c r="F108" s="1" t="s">
        <v>48</v>
      </c>
      <c r="G108" s="1">
        <v>2541515</v>
      </c>
      <c r="H108" s="2" t="s">
        <v>60</v>
      </c>
      <c r="I108" s="5" t="s">
        <v>50</v>
      </c>
      <c r="J108" s="1">
        <v>12</v>
      </c>
      <c r="K108" s="13" t="str">
        <f t="shared" si="119"/>
        <v>P</v>
      </c>
      <c r="L108" s="6">
        <v>12</v>
      </c>
      <c r="M108" s="13" t="str">
        <f t="shared" si="120"/>
        <v>P</v>
      </c>
      <c r="AB108" s="7" t="str">
        <f t="shared" si="111"/>
        <v>24</v>
      </c>
      <c r="AC108" s="13" t="str">
        <f t="shared" si="112"/>
        <v>D</v>
      </c>
      <c r="AD108" s="13" t="str">
        <f t="shared" si="123"/>
        <v>219</v>
      </c>
      <c r="AE108" s="1">
        <v>550</v>
      </c>
      <c r="AF108" s="15">
        <f t="shared" si="121"/>
        <v>39.81818181818182</v>
      </c>
      <c r="AG108" s="13" t="str">
        <f t="shared" si="121"/>
        <v>ATKT</v>
      </c>
      <c r="AI108" s="1">
        <v>22</v>
      </c>
      <c r="AJ108" s="15">
        <f t="shared" si="124"/>
        <v>16</v>
      </c>
      <c r="AK108" s="16">
        <f t="shared" si="124"/>
        <v>66</v>
      </c>
      <c r="AL108" s="7">
        <f t="shared" si="124"/>
        <v>0</v>
      </c>
      <c r="AR108" s="7" t="str">
        <f t="shared" si="113"/>
        <v>F</v>
      </c>
      <c r="AS108" s="8">
        <f t="shared" si="114"/>
        <v>4</v>
      </c>
      <c r="AT108" s="8">
        <f t="shared" si="115"/>
        <v>8</v>
      </c>
      <c r="AU108" s="13">
        <f>IF(OR(UPPER(TRIM(AC108))="AB", AC108=901, AC108="901"), 0, IF(ISNUMBER(MATCH(UPPER(TRIM(AC108)), {"A+","A","B+","B","C","D","P"}, 0)), 2, 0))</f>
        <v>2</v>
      </c>
      <c r="AV108" s="13">
        <f t="shared" si="116"/>
        <v>24</v>
      </c>
      <c r="AW108">
        <f t="shared" si="117"/>
        <v>24</v>
      </c>
      <c r="AX108" s="1">
        <f t="shared" si="118"/>
        <v>48</v>
      </c>
      <c r="AY108" s="13">
        <f t="shared" si="122"/>
        <v>219</v>
      </c>
    </row>
    <row r="110" spans="1:51">
      <c r="A110" s="7">
        <v>5097797</v>
      </c>
      <c r="B110" s="7"/>
      <c r="C110" s="33" t="s">
        <v>73</v>
      </c>
      <c r="D110" s="1" t="s">
        <v>47</v>
      </c>
      <c r="E110" s="3">
        <v>1</v>
      </c>
      <c r="F110" s="1" t="s">
        <v>48</v>
      </c>
      <c r="G110" s="1">
        <v>1011312</v>
      </c>
      <c r="H110" s="2" t="s">
        <v>49</v>
      </c>
      <c r="I110" s="5" t="s">
        <v>50</v>
      </c>
      <c r="J110" s="6">
        <v>14</v>
      </c>
      <c r="K110" s="13" t="str">
        <f>IF(OR(UPPER(TRIM(J110))="AB",J110=901,J110="901"),"F",IF(J110&gt;=8,"P","F"))</f>
        <v>P</v>
      </c>
      <c r="L110" s="1">
        <v>20</v>
      </c>
      <c r="M110" s="13" t="str">
        <f>IF(OR(UPPER(TRIM(L110))="AB",L110=901,L110="901"),"F",IF(L110&gt;=8,"P","F"))</f>
        <v>P</v>
      </c>
      <c r="N110" s="13"/>
      <c r="O110" s="13"/>
      <c r="P110" s="13"/>
      <c r="Q110" s="13"/>
      <c r="R110" s="13"/>
      <c r="S110" s="13"/>
      <c r="T110" s="13"/>
      <c r="U110" s="13"/>
      <c r="V110" s="13"/>
      <c r="W110" s="13"/>
      <c r="X110" s="13"/>
      <c r="Y110" s="13"/>
      <c r="Z110" s="13"/>
      <c r="AB110" s="7" t="str">
        <f t="shared" ref="AB110:AB120" si="125">AV110 &amp; IF(AA110&lt;&gt;"", " @ " &amp; AA110, "")</f>
        <v>34</v>
      </c>
      <c r="AC110" s="13" t="str">
        <f t="shared" ref="AC110:AC120" si="126">IF(AX110&gt;=90,"O",
IF(AX110&gt;=80,"A+",
IF(AX110&gt;=70,"A",
IF(AX110&gt;=60,"B+",
IF(AX110&gt;=55,"B",
IF(AX110&gt;=50,"C",
IF(AX110&gt;=40,"D","F")))))))</f>
        <v>B+</v>
      </c>
      <c r="AD110" s="13" t="str">
        <f>SUM(AV110:AV120) &amp; IF(SUM(AA110:AA120)&gt;0, " @ " &amp; SUM(AA110:AA120), "")</f>
        <v>259</v>
      </c>
      <c r="AE110" s="1">
        <v>550</v>
      </c>
      <c r="AF110" s="15">
        <f>AY110/AE110*100</f>
        <v>47.090909090909086</v>
      </c>
      <c r="AG110" s="13" t="str" cm="1">
        <f t="array" ref="AG110">IF(
  SUMPRODUCT(--(IFERROR(VALUE(J110:J120),9999)&lt;8))
  + SUMPRODUCT(--(IFERROR(VALUE(L110:L120),9999)&lt;12))
  + COUNTIF(J110:J120,"AB") + COUNTIF(L110:L120,"AB")
  + COUNTIF(J110:J120,901) + COUNTIF(L110:L120,901) &gt; 0,
  "ATKT",
  "PASS"
)</f>
        <v>ATKT</v>
      </c>
      <c r="AI110" s="1">
        <v>22</v>
      </c>
      <c r="AJ110" s="15">
        <f>SUM(AU110:AU120)</f>
        <v>16</v>
      </c>
      <c r="AK110" s="16">
        <f>SUM(AT110:AT120)</f>
        <v>80</v>
      </c>
      <c r="AL110" s="7">
        <f>IF(UPPER(TRIM(AG110))="ATKT",0,ROUND( (SUM(AT110:AT120) /22), 2))</f>
        <v>0</v>
      </c>
      <c r="AR110" s="7" t="str">
        <f t="shared" ref="AR110:AR120" si="127">IF(AL110&gt;=9,"O", IF(AL110&gt;=8,"A+", IF(AL110&gt;=7,"A", IF(AL110&gt;=6,"B+", IF(AL110&gt;=5.5,"B", IF(AL110&gt;=5,"C", IF(AL110&gt;=4,"D","F")))))))</f>
        <v>F</v>
      </c>
      <c r="AS110" s="8">
        <f t="shared" ref="AS110:AS120" si="128">IF(AX110&gt;=90,10,
IF(AX110&gt;=80,9,
IF(AX110&gt;=70,8,
IF(AX110&gt;=60,7,
IF(AX110&gt;=55,6,
IF(AX110&gt;=50,5,
IF(AX110&gt;=40,4,0)))))))</f>
        <v>7</v>
      </c>
      <c r="AT110" s="8">
        <f t="shared" ref="AT110:AT120" si="129">AS110*I110</f>
        <v>14</v>
      </c>
      <c r="AU110" s="13">
        <f>IF(OR(UPPER(TRIM(AC110))="AB", AC110=901, AC110="901"), 0, IF(ISNUMBER(MATCH(UPPER(TRIM(AC110)), {"A+","A","B+","B","C","D","P"}, 0)), 2, 0))</f>
        <v>2</v>
      </c>
      <c r="AV110" s="13">
        <f t="shared" ref="AV110:AV120" si="130">SUM(
IF(OR(UPPER(TRIM(J110))="AB",J110=901,J110="901"),0,IFERROR(VALUE(J110),0)),
IF(OR(UPPER(TRIM(L110))="AB",L110=901,L110="901"),0,IFERROR(VALUE(L110),0)),
IF(OR(UPPER(TRIM(N110))="AB",N110=901,N110="901"),0,IFERROR(VALUE(N110),0))
)</f>
        <v>34</v>
      </c>
      <c r="AW110">
        <f t="shared" ref="AW110:AW120" si="131">AA110+AV110</f>
        <v>34</v>
      </c>
      <c r="AX110" s="1">
        <f t="shared" ref="AX110:AX120" si="132">(AW110 / 50) * 100</f>
        <v>68</v>
      </c>
      <c r="AY110" s="13">
        <f>SUM(AW110:AW120)</f>
        <v>259</v>
      </c>
    </row>
    <row r="111" spans="1:51">
      <c r="A111" s="7">
        <v>5097797</v>
      </c>
      <c r="B111" s="7"/>
      <c r="C111" s="33" t="s">
        <v>73</v>
      </c>
      <c r="D111" s="1" t="s">
        <v>47</v>
      </c>
      <c r="E111" s="3">
        <v>1</v>
      </c>
      <c r="F111" s="1" t="s">
        <v>48</v>
      </c>
      <c r="G111" s="1">
        <v>1171312</v>
      </c>
      <c r="H111" s="2" t="s">
        <v>51</v>
      </c>
      <c r="I111" s="5" t="s">
        <v>50</v>
      </c>
      <c r="J111" s="1">
        <v>18</v>
      </c>
      <c r="K111" s="13" t="str">
        <f t="shared" ref="K111:K120" si="133">IF(OR(UPPER(TRIM(J111))="AB",J111=901,J111="901"),"F",IF(J111&gt;=8,"P","F"))</f>
        <v>P</v>
      </c>
      <c r="L111" s="1">
        <v>0</v>
      </c>
      <c r="M111" s="13" t="str">
        <f t="shared" ref="M111:M120" si="134">IF(OR(UPPER(TRIM(L111))="AB",L111=901,L111="901"),"F",IF(L111&gt;=8,"P","F"))</f>
        <v>F</v>
      </c>
      <c r="AB111" s="7" t="str">
        <f t="shared" si="125"/>
        <v>18</v>
      </c>
      <c r="AC111" s="13" t="str">
        <f t="shared" si="126"/>
        <v>F</v>
      </c>
      <c r="AD111" s="13" t="str">
        <f>AD110</f>
        <v>259</v>
      </c>
      <c r="AE111" s="1">
        <v>550</v>
      </c>
      <c r="AF111" s="15">
        <f t="shared" ref="AF111:AG120" si="135">AF110</f>
        <v>47.090909090909086</v>
      </c>
      <c r="AG111" s="13" t="str">
        <f t="shared" si="135"/>
        <v>ATKT</v>
      </c>
      <c r="AI111" s="1">
        <v>22</v>
      </c>
      <c r="AJ111" s="15">
        <f>AJ110</f>
        <v>16</v>
      </c>
      <c r="AK111" s="16">
        <f>AK110</f>
        <v>80</v>
      </c>
      <c r="AL111" s="7">
        <f>AL110</f>
        <v>0</v>
      </c>
      <c r="AR111" s="7" t="str">
        <f t="shared" si="127"/>
        <v>F</v>
      </c>
      <c r="AS111" s="8">
        <f t="shared" si="128"/>
        <v>0</v>
      </c>
      <c r="AT111" s="8">
        <f t="shared" si="129"/>
        <v>0</v>
      </c>
      <c r="AU111" s="13">
        <f>IF(OR(UPPER(TRIM(AC111))="AB", AC111=901, AC111="901"), 0, IF(ISNUMBER(MATCH(UPPER(TRIM(AC111)), {"A+","A","B+","B","C","D","P"}, 0)), 2, 0))</f>
        <v>0</v>
      </c>
      <c r="AV111" s="13">
        <f t="shared" si="130"/>
        <v>18</v>
      </c>
      <c r="AW111">
        <f t="shared" si="131"/>
        <v>18</v>
      </c>
      <c r="AX111" s="1">
        <f t="shared" si="132"/>
        <v>36</v>
      </c>
      <c r="AY111" s="13">
        <f t="shared" ref="AY111:AY120" si="136">AY110</f>
        <v>259</v>
      </c>
    </row>
    <row r="112" spans="1:51">
      <c r="A112" s="7">
        <v>5097797</v>
      </c>
      <c r="B112" s="7"/>
      <c r="C112" s="33" t="s">
        <v>73</v>
      </c>
      <c r="D112" s="1" t="s">
        <v>47</v>
      </c>
      <c r="E112" s="3">
        <v>1</v>
      </c>
      <c r="F112" s="1" t="s">
        <v>48</v>
      </c>
      <c r="G112" s="1">
        <v>1461111</v>
      </c>
      <c r="H112" s="2" t="s">
        <v>52</v>
      </c>
      <c r="I112" s="5" t="s">
        <v>50</v>
      </c>
      <c r="J112" s="1">
        <v>12</v>
      </c>
      <c r="K112" s="13" t="str">
        <f t="shared" si="133"/>
        <v>P</v>
      </c>
      <c r="L112" s="1">
        <v>12</v>
      </c>
      <c r="M112" s="13" t="str">
        <f t="shared" si="134"/>
        <v>P</v>
      </c>
      <c r="AB112" s="7" t="str">
        <f t="shared" si="125"/>
        <v>24</v>
      </c>
      <c r="AC112" s="13" t="str">
        <f t="shared" si="126"/>
        <v>D</v>
      </c>
      <c r="AD112" s="13" t="str">
        <f t="shared" ref="AD112:AD120" si="137">AD111</f>
        <v>259</v>
      </c>
      <c r="AE112" s="1">
        <v>550</v>
      </c>
      <c r="AF112" s="15">
        <f t="shared" si="135"/>
        <v>47.090909090909086</v>
      </c>
      <c r="AG112" s="13" t="str">
        <f t="shared" si="135"/>
        <v>ATKT</v>
      </c>
      <c r="AI112" s="1">
        <v>22</v>
      </c>
      <c r="AJ112" s="15">
        <f t="shared" ref="AJ112:AL120" si="138">AJ111</f>
        <v>16</v>
      </c>
      <c r="AK112" s="16">
        <f t="shared" si="138"/>
        <v>80</v>
      </c>
      <c r="AL112" s="7">
        <f t="shared" si="138"/>
        <v>0</v>
      </c>
      <c r="AR112" s="7" t="str">
        <f t="shared" si="127"/>
        <v>F</v>
      </c>
      <c r="AS112" s="8">
        <f t="shared" si="128"/>
        <v>4</v>
      </c>
      <c r="AT112" s="8">
        <f t="shared" si="129"/>
        <v>8</v>
      </c>
      <c r="AU112" s="13">
        <f>IF(OR(UPPER(TRIM(AC112))="AB", AC112=901, AC112="901"), 0, IF(ISNUMBER(MATCH(UPPER(TRIM(AC112)), {"A+","A","B+","B","C","D","P"}, 0)), 2, 0))</f>
        <v>2</v>
      </c>
      <c r="AV112" s="13">
        <f t="shared" si="130"/>
        <v>24</v>
      </c>
      <c r="AW112">
        <f t="shared" si="131"/>
        <v>24</v>
      </c>
      <c r="AX112" s="1">
        <f t="shared" si="132"/>
        <v>48</v>
      </c>
      <c r="AY112" s="13">
        <f t="shared" si="136"/>
        <v>259</v>
      </c>
    </row>
    <row r="113" spans="1:51">
      <c r="A113" s="7">
        <v>5097797</v>
      </c>
      <c r="B113" s="7"/>
      <c r="C113" s="33" t="s">
        <v>73</v>
      </c>
      <c r="D113" s="1" t="s">
        <v>47</v>
      </c>
      <c r="E113" s="3">
        <v>1</v>
      </c>
      <c r="F113" s="1" t="s">
        <v>48</v>
      </c>
      <c r="G113" s="1">
        <v>1461112</v>
      </c>
      <c r="H113" s="2" t="s">
        <v>53</v>
      </c>
      <c r="I113" s="5" t="s">
        <v>50</v>
      </c>
      <c r="J113" s="1">
        <v>12</v>
      </c>
      <c r="K113" s="13" t="str">
        <f t="shared" si="133"/>
        <v>P</v>
      </c>
      <c r="L113" s="1">
        <v>12</v>
      </c>
      <c r="M113" s="13" t="str">
        <f t="shared" si="134"/>
        <v>P</v>
      </c>
      <c r="AB113" s="7" t="str">
        <f t="shared" si="125"/>
        <v>24</v>
      </c>
      <c r="AC113" s="13" t="str">
        <f t="shared" si="126"/>
        <v>D</v>
      </c>
      <c r="AD113" s="13" t="str">
        <f t="shared" si="137"/>
        <v>259</v>
      </c>
      <c r="AE113" s="1">
        <v>550</v>
      </c>
      <c r="AF113" s="15">
        <f t="shared" si="135"/>
        <v>47.090909090909086</v>
      </c>
      <c r="AG113" s="13" t="str">
        <f t="shared" si="135"/>
        <v>ATKT</v>
      </c>
      <c r="AI113" s="1">
        <v>22</v>
      </c>
      <c r="AJ113" s="15">
        <f t="shared" si="138"/>
        <v>16</v>
      </c>
      <c r="AK113" s="16">
        <f t="shared" si="138"/>
        <v>80</v>
      </c>
      <c r="AL113" s="7">
        <f t="shared" si="138"/>
        <v>0</v>
      </c>
      <c r="AR113" s="7" t="str">
        <f t="shared" si="127"/>
        <v>F</v>
      </c>
      <c r="AS113" s="8">
        <f t="shared" si="128"/>
        <v>4</v>
      </c>
      <c r="AT113" s="8">
        <f t="shared" si="129"/>
        <v>8</v>
      </c>
      <c r="AU113" s="13">
        <f>IF(OR(UPPER(TRIM(AC113))="AB", AC113=901, AC113="901"), 0, IF(ISNUMBER(MATCH(UPPER(TRIM(AC113)), {"A+","A","B+","B","C","D","P"}, 0)), 2, 0))</f>
        <v>2</v>
      </c>
      <c r="AV113" s="13">
        <f t="shared" si="130"/>
        <v>24</v>
      </c>
      <c r="AW113">
        <f t="shared" si="131"/>
        <v>24</v>
      </c>
      <c r="AX113" s="1">
        <f t="shared" si="132"/>
        <v>48</v>
      </c>
      <c r="AY113" s="13">
        <f t="shared" si="136"/>
        <v>259</v>
      </c>
    </row>
    <row r="114" spans="1:51">
      <c r="A114" s="7">
        <v>5097797</v>
      </c>
      <c r="B114" s="7"/>
      <c r="C114" s="33" t="s">
        <v>73</v>
      </c>
      <c r="D114" s="1" t="s">
        <v>47</v>
      </c>
      <c r="E114" s="3">
        <v>1</v>
      </c>
      <c r="F114" s="1" t="s">
        <v>48</v>
      </c>
      <c r="G114" s="1">
        <v>1461113</v>
      </c>
      <c r="H114" s="2" t="s">
        <v>54</v>
      </c>
      <c r="I114" s="5" t="s">
        <v>50</v>
      </c>
      <c r="J114" s="1">
        <v>19</v>
      </c>
      <c r="K114" s="13" t="str">
        <f t="shared" si="133"/>
        <v>P</v>
      </c>
      <c r="L114" s="1">
        <v>12</v>
      </c>
      <c r="M114" s="13" t="str">
        <f t="shared" si="134"/>
        <v>P</v>
      </c>
      <c r="AB114" s="7" t="str">
        <f t="shared" si="125"/>
        <v>31</v>
      </c>
      <c r="AC114" s="13" t="str">
        <f t="shared" si="126"/>
        <v>B+</v>
      </c>
      <c r="AD114" s="13" t="str">
        <f t="shared" si="137"/>
        <v>259</v>
      </c>
      <c r="AE114" s="1">
        <v>550</v>
      </c>
      <c r="AF114" s="15">
        <f t="shared" si="135"/>
        <v>47.090909090909086</v>
      </c>
      <c r="AG114" s="13" t="str">
        <f t="shared" si="135"/>
        <v>ATKT</v>
      </c>
      <c r="AI114" s="1">
        <v>22</v>
      </c>
      <c r="AJ114" s="15">
        <f t="shared" si="138"/>
        <v>16</v>
      </c>
      <c r="AK114" s="16">
        <f t="shared" si="138"/>
        <v>80</v>
      </c>
      <c r="AL114" s="7">
        <f t="shared" si="138"/>
        <v>0</v>
      </c>
      <c r="AR114" s="7" t="str">
        <f t="shared" si="127"/>
        <v>F</v>
      </c>
      <c r="AS114" s="8">
        <f t="shared" si="128"/>
        <v>7</v>
      </c>
      <c r="AT114" s="8">
        <f t="shared" si="129"/>
        <v>14</v>
      </c>
      <c r="AU114" s="13">
        <f>IF(OR(UPPER(TRIM(AC114))="AB", AC114=901, AC114="901"), 0, IF(ISNUMBER(MATCH(UPPER(TRIM(AC114)), {"A+","A","B+","B","C","D","P"}, 0)), 2, 0))</f>
        <v>2</v>
      </c>
      <c r="AV114" s="13">
        <f t="shared" si="130"/>
        <v>31</v>
      </c>
      <c r="AW114">
        <f t="shared" si="131"/>
        <v>31</v>
      </c>
      <c r="AX114" s="1">
        <f t="shared" si="132"/>
        <v>62</v>
      </c>
      <c r="AY114" s="13">
        <f t="shared" si="136"/>
        <v>259</v>
      </c>
    </row>
    <row r="115" spans="1:51">
      <c r="A115" s="7">
        <v>5097797</v>
      </c>
      <c r="B115" s="7"/>
      <c r="C115" s="33" t="s">
        <v>73</v>
      </c>
      <c r="D115" s="1" t="s">
        <v>47</v>
      </c>
      <c r="E115" s="3">
        <v>1</v>
      </c>
      <c r="F115" s="1" t="s">
        <v>48</v>
      </c>
      <c r="G115" s="1">
        <v>1461411</v>
      </c>
      <c r="H115" s="2" t="s">
        <v>55</v>
      </c>
      <c r="I115" s="5" t="s">
        <v>50</v>
      </c>
      <c r="J115" s="1">
        <v>12</v>
      </c>
      <c r="K115" s="13" t="str">
        <f t="shared" si="133"/>
        <v>P</v>
      </c>
      <c r="L115" s="1">
        <v>12</v>
      </c>
      <c r="M115" s="13" t="str">
        <f t="shared" si="134"/>
        <v>P</v>
      </c>
      <c r="AB115" s="7" t="str">
        <f t="shared" si="125"/>
        <v>24</v>
      </c>
      <c r="AC115" s="13" t="str">
        <f t="shared" si="126"/>
        <v>D</v>
      </c>
      <c r="AD115" s="13" t="str">
        <f t="shared" si="137"/>
        <v>259</v>
      </c>
      <c r="AE115" s="1">
        <v>550</v>
      </c>
      <c r="AF115" s="15">
        <f t="shared" si="135"/>
        <v>47.090909090909086</v>
      </c>
      <c r="AG115" s="13" t="str">
        <f t="shared" si="135"/>
        <v>ATKT</v>
      </c>
      <c r="AI115" s="1">
        <v>22</v>
      </c>
      <c r="AJ115" s="15">
        <f t="shared" si="138"/>
        <v>16</v>
      </c>
      <c r="AK115" s="16">
        <f t="shared" si="138"/>
        <v>80</v>
      </c>
      <c r="AL115" s="7">
        <f t="shared" si="138"/>
        <v>0</v>
      </c>
      <c r="AR115" s="7" t="str">
        <f t="shared" si="127"/>
        <v>F</v>
      </c>
      <c r="AS115" s="8">
        <f t="shared" si="128"/>
        <v>4</v>
      </c>
      <c r="AT115" s="8">
        <f t="shared" si="129"/>
        <v>8</v>
      </c>
      <c r="AU115" s="13">
        <f>IF(OR(UPPER(TRIM(AC115))="AB", AC115=901, AC115="901"), 0, IF(ISNUMBER(MATCH(UPPER(TRIM(AC115)), {"A+","A","B+","B","C","D","P"}, 0)), 2, 0))</f>
        <v>2</v>
      </c>
      <c r="AV115" s="13">
        <f t="shared" si="130"/>
        <v>24</v>
      </c>
      <c r="AW115">
        <f t="shared" si="131"/>
        <v>24</v>
      </c>
      <c r="AX115" s="1">
        <f t="shared" si="132"/>
        <v>48</v>
      </c>
      <c r="AY115" s="13">
        <f t="shared" si="136"/>
        <v>259</v>
      </c>
    </row>
    <row r="116" spans="1:51">
      <c r="A116" s="7">
        <v>5097797</v>
      </c>
      <c r="B116" s="7"/>
      <c r="C116" s="33" t="s">
        <v>73</v>
      </c>
      <c r="D116" s="1" t="s">
        <v>47</v>
      </c>
      <c r="E116" s="3">
        <v>1</v>
      </c>
      <c r="F116" s="1" t="s">
        <v>48</v>
      </c>
      <c r="G116" s="1">
        <v>1461412</v>
      </c>
      <c r="H116" s="2" t="s">
        <v>56</v>
      </c>
      <c r="I116" s="5" t="s">
        <v>50</v>
      </c>
      <c r="J116" s="1">
        <v>12</v>
      </c>
      <c r="K116" s="13" t="str">
        <f t="shared" si="133"/>
        <v>P</v>
      </c>
      <c r="L116" s="1">
        <v>0</v>
      </c>
      <c r="M116" s="13" t="str">
        <f t="shared" si="134"/>
        <v>F</v>
      </c>
      <c r="AB116" s="7" t="str">
        <f t="shared" si="125"/>
        <v>12</v>
      </c>
      <c r="AC116" s="13" t="str">
        <f t="shared" si="126"/>
        <v>F</v>
      </c>
      <c r="AD116" s="13" t="str">
        <f t="shared" si="137"/>
        <v>259</v>
      </c>
      <c r="AE116" s="1">
        <v>550</v>
      </c>
      <c r="AF116" s="15">
        <f t="shared" si="135"/>
        <v>47.090909090909086</v>
      </c>
      <c r="AG116" s="13" t="str">
        <f t="shared" si="135"/>
        <v>ATKT</v>
      </c>
      <c r="AI116" s="1">
        <v>22</v>
      </c>
      <c r="AJ116" s="15">
        <f t="shared" si="138"/>
        <v>16</v>
      </c>
      <c r="AK116" s="16">
        <f t="shared" si="138"/>
        <v>80</v>
      </c>
      <c r="AL116" s="7">
        <f t="shared" si="138"/>
        <v>0</v>
      </c>
      <c r="AR116" s="7" t="str">
        <f t="shared" si="127"/>
        <v>F</v>
      </c>
      <c r="AS116" s="8">
        <f t="shared" si="128"/>
        <v>0</v>
      </c>
      <c r="AT116" s="8">
        <f t="shared" si="129"/>
        <v>0</v>
      </c>
      <c r="AU116" s="13">
        <f>IF(OR(UPPER(TRIM(AC116))="AB", AC116=901, AC116="901"), 0, IF(ISNUMBER(MATCH(UPPER(TRIM(AC116)), {"A+","A","B+","B","C","D","P"}, 0)), 2, 0))</f>
        <v>0</v>
      </c>
      <c r="AV116" s="13">
        <f t="shared" si="130"/>
        <v>12</v>
      </c>
      <c r="AW116">
        <f t="shared" si="131"/>
        <v>12</v>
      </c>
      <c r="AX116" s="1">
        <f t="shared" si="132"/>
        <v>24</v>
      </c>
      <c r="AY116" s="13">
        <f t="shared" si="136"/>
        <v>259</v>
      </c>
    </row>
    <row r="117" spans="1:51">
      <c r="A117" s="7">
        <v>5097797</v>
      </c>
      <c r="B117" s="7"/>
      <c r="C117" s="33" t="s">
        <v>73</v>
      </c>
      <c r="D117" s="1" t="s">
        <v>47</v>
      </c>
      <c r="E117" s="3">
        <v>1</v>
      </c>
      <c r="F117" s="1" t="s">
        <v>48</v>
      </c>
      <c r="G117" s="1">
        <v>2511515</v>
      </c>
      <c r="H117" s="2" t="s">
        <v>57</v>
      </c>
      <c r="I117" s="5" t="s">
        <v>50</v>
      </c>
      <c r="J117" s="1">
        <v>12</v>
      </c>
      <c r="K117" s="13" t="str">
        <f t="shared" si="133"/>
        <v>P</v>
      </c>
      <c r="L117" s="1">
        <v>12</v>
      </c>
      <c r="M117" s="13" t="str">
        <f t="shared" si="134"/>
        <v>P</v>
      </c>
      <c r="AB117" s="7" t="str">
        <f t="shared" si="125"/>
        <v>24</v>
      </c>
      <c r="AC117" s="13" t="str">
        <f t="shared" si="126"/>
        <v>D</v>
      </c>
      <c r="AD117" s="13" t="str">
        <f t="shared" si="137"/>
        <v>259</v>
      </c>
      <c r="AE117" s="1">
        <v>550</v>
      </c>
      <c r="AF117" s="15">
        <f t="shared" si="135"/>
        <v>47.090909090909086</v>
      </c>
      <c r="AG117" s="13" t="str">
        <f t="shared" si="135"/>
        <v>ATKT</v>
      </c>
      <c r="AI117" s="1">
        <v>22</v>
      </c>
      <c r="AJ117" s="15">
        <f t="shared" si="138"/>
        <v>16</v>
      </c>
      <c r="AK117" s="16">
        <f t="shared" si="138"/>
        <v>80</v>
      </c>
      <c r="AL117" s="7">
        <f t="shared" si="138"/>
        <v>0</v>
      </c>
      <c r="AR117" s="7" t="str">
        <f t="shared" si="127"/>
        <v>F</v>
      </c>
      <c r="AS117" s="8">
        <f t="shared" si="128"/>
        <v>4</v>
      </c>
      <c r="AT117" s="8">
        <f t="shared" si="129"/>
        <v>8</v>
      </c>
      <c r="AU117" s="13">
        <f>IF(OR(UPPER(TRIM(AC117))="AB", AC117=901, AC117="901"), 0, IF(ISNUMBER(MATCH(UPPER(TRIM(AC117)), {"A+","A","B+","B","C","D","P"}, 0)), 2, 0))</f>
        <v>2</v>
      </c>
      <c r="AV117" s="13">
        <f t="shared" si="130"/>
        <v>24</v>
      </c>
      <c r="AW117">
        <f t="shared" si="131"/>
        <v>24</v>
      </c>
      <c r="AX117" s="1">
        <f t="shared" si="132"/>
        <v>48</v>
      </c>
      <c r="AY117" s="13">
        <f t="shared" si="136"/>
        <v>259</v>
      </c>
    </row>
    <row r="118" spans="1:51">
      <c r="A118" s="7">
        <v>5097797</v>
      </c>
      <c r="B118" s="7"/>
      <c r="C118" s="33" t="s">
        <v>73</v>
      </c>
      <c r="D118" s="1" t="s">
        <v>47</v>
      </c>
      <c r="E118" s="3">
        <v>1</v>
      </c>
      <c r="F118" s="1" t="s">
        <v>48</v>
      </c>
      <c r="G118" s="1">
        <v>2521615</v>
      </c>
      <c r="H118" s="4" t="s">
        <v>58</v>
      </c>
      <c r="I118" s="5" t="s">
        <v>50</v>
      </c>
      <c r="J118" s="1">
        <v>15</v>
      </c>
      <c r="K118" s="13" t="str">
        <f t="shared" si="133"/>
        <v>P</v>
      </c>
      <c r="L118" s="1">
        <v>12</v>
      </c>
      <c r="M118" s="13" t="str">
        <f t="shared" si="134"/>
        <v>P</v>
      </c>
      <c r="AB118" s="7" t="str">
        <f t="shared" si="125"/>
        <v>27</v>
      </c>
      <c r="AC118" s="13" t="str">
        <f t="shared" si="126"/>
        <v>C</v>
      </c>
      <c r="AD118" s="13" t="str">
        <f t="shared" si="137"/>
        <v>259</v>
      </c>
      <c r="AE118" s="1">
        <v>550</v>
      </c>
      <c r="AF118" s="15">
        <f t="shared" si="135"/>
        <v>47.090909090909086</v>
      </c>
      <c r="AG118" s="13" t="str">
        <f t="shared" si="135"/>
        <v>ATKT</v>
      </c>
      <c r="AI118" s="1">
        <v>22</v>
      </c>
      <c r="AJ118" s="15">
        <f t="shared" si="138"/>
        <v>16</v>
      </c>
      <c r="AK118" s="16">
        <f t="shared" si="138"/>
        <v>80</v>
      </c>
      <c r="AL118" s="7">
        <f t="shared" si="138"/>
        <v>0</v>
      </c>
      <c r="AR118" s="7" t="str">
        <f t="shared" si="127"/>
        <v>F</v>
      </c>
      <c r="AS118" s="8">
        <f t="shared" si="128"/>
        <v>5</v>
      </c>
      <c r="AT118" s="8">
        <f t="shared" si="129"/>
        <v>10</v>
      </c>
      <c r="AU118" s="13">
        <f>IF(OR(UPPER(TRIM(AC118))="AB", AC118=901, AC118="901"), 0, IF(ISNUMBER(MATCH(UPPER(TRIM(AC118)), {"A+","A","B+","B","C","D","P"}, 0)), 2, 0))</f>
        <v>2</v>
      </c>
      <c r="AV118" s="13">
        <f t="shared" si="130"/>
        <v>27</v>
      </c>
      <c r="AW118">
        <f t="shared" si="131"/>
        <v>27</v>
      </c>
      <c r="AX118" s="1">
        <f t="shared" si="132"/>
        <v>54</v>
      </c>
      <c r="AY118" s="13">
        <f t="shared" si="136"/>
        <v>259</v>
      </c>
    </row>
    <row r="119" spans="1:51">
      <c r="A119" s="7">
        <v>5097797</v>
      </c>
      <c r="B119" s="7"/>
      <c r="C119" s="33" t="s">
        <v>73</v>
      </c>
      <c r="D119" s="1" t="s">
        <v>47</v>
      </c>
      <c r="E119" s="3">
        <v>1</v>
      </c>
      <c r="F119" s="1" t="s">
        <v>48</v>
      </c>
      <c r="G119" s="1">
        <v>2531511</v>
      </c>
      <c r="H119" s="2" t="s">
        <v>59</v>
      </c>
      <c r="I119" s="5" t="s">
        <v>50</v>
      </c>
      <c r="J119" s="1">
        <v>14</v>
      </c>
      <c r="K119" s="13" t="str">
        <f t="shared" si="133"/>
        <v>P</v>
      </c>
      <c r="L119" s="1">
        <v>12</v>
      </c>
      <c r="M119" s="13" t="str">
        <f t="shared" si="134"/>
        <v>P</v>
      </c>
      <c r="AB119" s="7" t="str">
        <f t="shared" si="125"/>
        <v>26</v>
      </c>
      <c r="AC119" s="13" t="str">
        <f t="shared" si="126"/>
        <v>C</v>
      </c>
      <c r="AD119" s="13" t="str">
        <f t="shared" si="137"/>
        <v>259</v>
      </c>
      <c r="AE119" s="1">
        <v>550</v>
      </c>
      <c r="AF119" s="15">
        <f t="shared" si="135"/>
        <v>47.090909090909086</v>
      </c>
      <c r="AG119" s="13" t="str">
        <f t="shared" si="135"/>
        <v>ATKT</v>
      </c>
      <c r="AI119" s="1">
        <v>22</v>
      </c>
      <c r="AJ119" s="15">
        <f t="shared" si="138"/>
        <v>16</v>
      </c>
      <c r="AK119" s="16">
        <f t="shared" si="138"/>
        <v>80</v>
      </c>
      <c r="AL119" s="7">
        <f t="shared" si="138"/>
        <v>0</v>
      </c>
      <c r="AR119" s="7" t="str">
        <f t="shared" si="127"/>
        <v>F</v>
      </c>
      <c r="AS119" s="8">
        <f t="shared" si="128"/>
        <v>5</v>
      </c>
      <c r="AT119" s="8">
        <f t="shared" si="129"/>
        <v>10</v>
      </c>
      <c r="AU119" s="13">
        <f>IF(OR(UPPER(TRIM(AC119))="AB", AC119=901, AC119="901"), 0, IF(ISNUMBER(MATCH(UPPER(TRIM(AC119)), {"A+","A","B+","B","C","D","P"}, 0)), 2, 0))</f>
        <v>2</v>
      </c>
      <c r="AV119" s="13">
        <f t="shared" si="130"/>
        <v>26</v>
      </c>
      <c r="AW119">
        <f t="shared" si="131"/>
        <v>26</v>
      </c>
      <c r="AX119" s="1">
        <f t="shared" si="132"/>
        <v>52</v>
      </c>
      <c r="AY119" s="13">
        <f t="shared" si="136"/>
        <v>259</v>
      </c>
    </row>
    <row r="120" spans="1:51">
      <c r="A120" s="7">
        <v>5097797</v>
      </c>
      <c r="B120" s="7"/>
      <c r="C120" s="33" t="s">
        <v>73</v>
      </c>
      <c r="D120" s="1" t="s">
        <v>47</v>
      </c>
      <c r="E120" s="3">
        <v>1</v>
      </c>
      <c r="F120" s="1" t="s">
        <v>48</v>
      </c>
      <c r="G120" s="1">
        <v>2541515</v>
      </c>
      <c r="H120" s="2" t="s">
        <v>60</v>
      </c>
      <c r="I120" s="5" t="s">
        <v>50</v>
      </c>
      <c r="J120" s="1">
        <v>13</v>
      </c>
      <c r="K120" s="13" t="str">
        <f t="shared" si="133"/>
        <v>P</v>
      </c>
      <c r="L120" s="6">
        <v>2</v>
      </c>
      <c r="M120" s="13" t="str">
        <f t="shared" si="134"/>
        <v>F</v>
      </c>
      <c r="AB120" s="7" t="str">
        <f t="shared" si="125"/>
        <v>15</v>
      </c>
      <c r="AC120" s="13" t="str">
        <f t="shared" si="126"/>
        <v>F</v>
      </c>
      <c r="AD120" s="13" t="str">
        <f t="shared" si="137"/>
        <v>259</v>
      </c>
      <c r="AE120" s="1">
        <v>550</v>
      </c>
      <c r="AF120" s="15">
        <f t="shared" si="135"/>
        <v>47.090909090909086</v>
      </c>
      <c r="AG120" s="13" t="str">
        <f t="shared" si="135"/>
        <v>ATKT</v>
      </c>
      <c r="AI120" s="1">
        <v>22</v>
      </c>
      <c r="AJ120" s="15">
        <f t="shared" si="138"/>
        <v>16</v>
      </c>
      <c r="AK120" s="16">
        <f t="shared" si="138"/>
        <v>80</v>
      </c>
      <c r="AL120" s="7">
        <f t="shared" si="138"/>
        <v>0</v>
      </c>
      <c r="AR120" s="7" t="str">
        <f t="shared" si="127"/>
        <v>F</v>
      </c>
      <c r="AS120" s="8">
        <f t="shared" si="128"/>
        <v>0</v>
      </c>
      <c r="AT120" s="8">
        <f t="shared" si="129"/>
        <v>0</v>
      </c>
      <c r="AU120" s="13">
        <f>IF(OR(UPPER(TRIM(AC120))="AB", AC120=901, AC120="901"), 0, IF(ISNUMBER(MATCH(UPPER(TRIM(AC120)), {"A+","A","B+","B","C","D","P"}, 0)), 2, 0))</f>
        <v>0</v>
      </c>
      <c r="AV120" s="13">
        <f t="shared" si="130"/>
        <v>15</v>
      </c>
      <c r="AW120">
        <f t="shared" si="131"/>
        <v>15</v>
      </c>
      <c r="AX120" s="1">
        <f t="shared" si="132"/>
        <v>30</v>
      </c>
      <c r="AY120" s="13">
        <f t="shared" si="136"/>
        <v>259</v>
      </c>
    </row>
    <row r="122" spans="1:51">
      <c r="A122" s="7">
        <v>5063565</v>
      </c>
      <c r="B122" s="7"/>
      <c r="C122" s="33" t="s">
        <v>74</v>
      </c>
      <c r="D122" s="1" t="s">
        <v>47</v>
      </c>
      <c r="E122" s="3">
        <v>1</v>
      </c>
      <c r="F122" s="1" t="s">
        <v>48</v>
      </c>
      <c r="G122" s="1">
        <v>1011312</v>
      </c>
      <c r="H122" s="2" t="s">
        <v>49</v>
      </c>
      <c r="I122" s="5" t="s">
        <v>50</v>
      </c>
      <c r="J122" s="6">
        <v>18</v>
      </c>
      <c r="K122" s="13" t="str">
        <f>IF(OR(UPPER(TRIM(J122))="AB",J122=901,J122="901"),"F",IF(J122&gt;=8,"P","F"))</f>
        <v>P</v>
      </c>
      <c r="L122" s="1">
        <v>27</v>
      </c>
      <c r="M122" s="13" t="str">
        <f>IF(OR(UPPER(TRIM(L122))="AB",L122=901,L122="901"),"F",IF(L122&gt;=8,"P","F"))</f>
        <v>P</v>
      </c>
      <c r="N122" s="13"/>
      <c r="O122" s="13"/>
      <c r="P122" s="13"/>
      <c r="Q122" s="13"/>
      <c r="R122" s="13"/>
      <c r="S122" s="13"/>
      <c r="T122" s="13"/>
      <c r="U122" s="13"/>
      <c r="V122" s="13"/>
      <c r="W122" s="13"/>
      <c r="X122" s="13"/>
      <c r="Y122" s="13"/>
      <c r="Z122" s="13"/>
      <c r="AB122" s="7" t="str">
        <f t="shared" ref="AB122:AB132" si="139">AV122 &amp; IF(AA122&lt;&gt;"", " @ " &amp; AA122, "")</f>
        <v>45</v>
      </c>
      <c r="AC122" s="13" t="str">
        <f t="shared" ref="AC122:AC132" si="140">IF(AX122&gt;=90,"O",
IF(AX122&gt;=80,"A+",
IF(AX122&gt;=70,"A",
IF(AX122&gt;=60,"B+",
IF(AX122&gt;=55,"B",
IF(AX122&gt;=50,"C",
IF(AX122&gt;=40,"D","F")))))))</f>
        <v>O</v>
      </c>
      <c r="AD122" s="13" t="str">
        <f>SUM(AV122:AV132) &amp; IF(SUM(AA122:AA132)&gt;0, " @ " &amp; SUM(AA122:AA132), "")</f>
        <v>368</v>
      </c>
      <c r="AE122" s="1">
        <v>550</v>
      </c>
      <c r="AF122" s="15">
        <f>AY122/AE122*100</f>
        <v>66.909090909090907</v>
      </c>
      <c r="AG122" s="13" t="str" cm="1">
        <f t="array" ref="AG122">IF(
  SUMPRODUCT(--(IFERROR(VALUE(J122:J132),9999)&lt;8))
  + SUMPRODUCT(--(IFERROR(VALUE(L122:L132),9999)&lt;12))
  + COUNTIF(J122:J132,"AB") + COUNTIF(L122:L132,"AB")
  + COUNTIF(J122:J132,901) + COUNTIF(L122:L132,901) &gt; 0,
  "ATKT",
  "PASS"
)</f>
        <v>PASS</v>
      </c>
      <c r="AI122" s="1">
        <v>22</v>
      </c>
      <c r="AJ122" s="15">
        <f>SUM(AU122:AU132)</f>
        <v>20</v>
      </c>
      <c r="AK122" s="16">
        <f>SUM(AT122:AT132)</f>
        <v>154</v>
      </c>
      <c r="AL122" s="7">
        <f>IF(UPPER(TRIM(AG122))="ATKT",0,ROUND( (SUM(AT122:AT132) /22), 2))</f>
        <v>7</v>
      </c>
      <c r="AR122" s="7" t="str">
        <f t="shared" ref="AR122:AR132" si="141">IF(AL122&gt;=9,"O", IF(AL122&gt;=8,"A+", IF(AL122&gt;=7,"A", IF(AL122&gt;=6,"B+", IF(AL122&gt;=5.5,"B", IF(AL122&gt;=5,"C", IF(AL122&gt;=4,"D","F")))))))</f>
        <v>A</v>
      </c>
      <c r="AS122" s="8">
        <f t="shared" ref="AS122:AS132" si="142">IF(AX122&gt;=90,10,
IF(AX122&gt;=80,9,
IF(AX122&gt;=70,8,
IF(AX122&gt;=60,7,
IF(AX122&gt;=55,6,
IF(AX122&gt;=50,5,
IF(AX122&gt;=40,4,0)))))))</f>
        <v>10</v>
      </c>
      <c r="AT122" s="8">
        <f t="shared" ref="AT122:AT132" si="143">AS122*I122</f>
        <v>20</v>
      </c>
      <c r="AU122" s="13">
        <f>IF(OR(UPPER(TRIM(AC122))="AB", AC122=901, AC122="901"), 0, IF(ISNUMBER(MATCH(UPPER(TRIM(AC122)), {"A+","A","B+","B","C","D","P"}, 0)), 2, 0))</f>
        <v>0</v>
      </c>
      <c r="AV122" s="13">
        <f t="shared" ref="AV122:AV132" si="144">SUM(
IF(OR(UPPER(TRIM(J122))="AB",J122=901,J122="901"),0,IFERROR(VALUE(J122),0)),
IF(OR(UPPER(TRIM(L122))="AB",L122=901,L122="901"),0,IFERROR(VALUE(L122),0)),
IF(OR(UPPER(TRIM(N122))="AB",N122=901,N122="901"),0,IFERROR(VALUE(N122),0))
)</f>
        <v>45</v>
      </c>
      <c r="AW122">
        <f t="shared" ref="AW122:AW132" si="145">AA122+AV122</f>
        <v>45</v>
      </c>
      <c r="AX122" s="1">
        <f t="shared" ref="AX122:AX132" si="146">(AW122 / 50) * 100</f>
        <v>90</v>
      </c>
      <c r="AY122" s="13">
        <f>SUM(AW122:AW132)</f>
        <v>368</v>
      </c>
    </row>
    <row r="123" spans="1:51">
      <c r="A123" s="7">
        <v>5063565</v>
      </c>
      <c r="B123" s="7"/>
      <c r="C123" s="33" t="s">
        <v>74</v>
      </c>
      <c r="D123" s="1" t="s">
        <v>47</v>
      </c>
      <c r="E123" s="3">
        <v>1</v>
      </c>
      <c r="F123" s="1" t="s">
        <v>48</v>
      </c>
      <c r="G123" s="1">
        <v>1171312</v>
      </c>
      <c r="H123" s="2" t="s">
        <v>51</v>
      </c>
      <c r="I123" s="5" t="s">
        <v>50</v>
      </c>
      <c r="J123" s="1">
        <v>18</v>
      </c>
      <c r="K123" s="13" t="str">
        <f t="shared" ref="K123:K132" si="147">IF(OR(UPPER(TRIM(J123))="AB",J123=901,J123="901"),"F",IF(J123&gt;=8,"P","F"))</f>
        <v>P</v>
      </c>
      <c r="L123" s="1">
        <v>16</v>
      </c>
      <c r="M123" s="13" t="str">
        <f t="shared" ref="M123:M132" si="148">IF(OR(UPPER(TRIM(L123))="AB",L123=901,L123="901"),"F",IF(L123&gt;=8,"P","F"))</f>
        <v>P</v>
      </c>
      <c r="AB123" s="7" t="str">
        <f t="shared" si="139"/>
        <v>34</v>
      </c>
      <c r="AC123" s="13" t="str">
        <f t="shared" si="140"/>
        <v>B+</v>
      </c>
      <c r="AD123" s="13" t="str">
        <f>AD122</f>
        <v>368</v>
      </c>
      <c r="AE123" s="1">
        <v>550</v>
      </c>
      <c r="AF123" s="15">
        <f t="shared" ref="AF123:AG132" si="149">AF122</f>
        <v>66.909090909090907</v>
      </c>
      <c r="AG123" s="13" t="str">
        <f t="shared" si="149"/>
        <v>PASS</v>
      </c>
      <c r="AI123" s="1">
        <v>22</v>
      </c>
      <c r="AJ123" s="15">
        <f>AJ122</f>
        <v>20</v>
      </c>
      <c r="AK123" s="16">
        <f>AK122</f>
        <v>154</v>
      </c>
      <c r="AL123" s="7">
        <f>AL122</f>
        <v>7</v>
      </c>
      <c r="AR123" s="7" t="str">
        <f t="shared" si="141"/>
        <v>A</v>
      </c>
      <c r="AS123" s="8">
        <f t="shared" si="142"/>
        <v>7</v>
      </c>
      <c r="AT123" s="8">
        <f t="shared" si="143"/>
        <v>14</v>
      </c>
      <c r="AU123" s="13">
        <f>IF(OR(UPPER(TRIM(AC123))="AB", AC123=901, AC123="901"), 0, IF(ISNUMBER(MATCH(UPPER(TRIM(AC123)), {"A+","A","B+","B","C","D","P"}, 0)), 2, 0))</f>
        <v>2</v>
      </c>
      <c r="AV123" s="13">
        <f t="shared" si="144"/>
        <v>34</v>
      </c>
      <c r="AW123">
        <f t="shared" si="145"/>
        <v>34</v>
      </c>
      <c r="AX123" s="1">
        <f t="shared" si="146"/>
        <v>68</v>
      </c>
      <c r="AY123" s="13">
        <f t="shared" ref="AY123:AY132" si="150">AY122</f>
        <v>368</v>
      </c>
    </row>
    <row r="124" spans="1:51">
      <c r="A124" s="7">
        <v>5063565</v>
      </c>
      <c r="B124" s="7"/>
      <c r="C124" s="33" t="s">
        <v>74</v>
      </c>
      <c r="D124" s="1" t="s">
        <v>47</v>
      </c>
      <c r="E124" s="3">
        <v>1</v>
      </c>
      <c r="F124" s="1" t="s">
        <v>48</v>
      </c>
      <c r="G124" s="1">
        <v>1461111</v>
      </c>
      <c r="H124" s="2" t="s">
        <v>52</v>
      </c>
      <c r="I124" s="5" t="s">
        <v>50</v>
      </c>
      <c r="J124" s="1">
        <v>14</v>
      </c>
      <c r="K124" s="13" t="str">
        <f t="shared" si="147"/>
        <v>P</v>
      </c>
      <c r="L124" s="1">
        <v>12</v>
      </c>
      <c r="M124" s="13" t="str">
        <f t="shared" si="148"/>
        <v>P</v>
      </c>
      <c r="AB124" s="7" t="str">
        <f t="shared" si="139"/>
        <v>26</v>
      </c>
      <c r="AC124" s="13" t="str">
        <f t="shared" si="140"/>
        <v>C</v>
      </c>
      <c r="AD124" s="13" t="str">
        <f t="shared" ref="AD124:AD132" si="151">AD123</f>
        <v>368</v>
      </c>
      <c r="AE124" s="1">
        <v>550</v>
      </c>
      <c r="AF124" s="15">
        <f t="shared" si="149"/>
        <v>66.909090909090907</v>
      </c>
      <c r="AG124" s="13" t="str">
        <f t="shared" si="149"/>
        <v>PASS</v>
      </c>
      <c r="AI124" s="1">
        <v>22</v>
      </c>
      <c r="AJ124" s="15">
        <f t="shared" ref="AJ124:AL132" si="152">AJ123</f>
        <v>20</v>
      </c>
      <c r="AK124" s="16">
        <f t="shared" si="152"/>
        <v>154</v>
      </c>
      <c r="AL124" s="7">
        <f t="shared" si="152"/>
        <v>7</v>
      </c>
      <c r="AR124" s="7" t="str">
        <f t="shared" si="141"/>
        <v>A</v>
      </c>
      <c r="AS124" s="8">
        <f t="shared" si="142"/>
        <v>5</v>
      </c>
      <c r="AT124" s="8">
        <f t="shared" si="143"/>
        <v>10</v>
      </c>
      <c r="AU124" s="13">
        <f>IF(OR(UPPER(TRIM(AC124))="AB", AC124=901, AC124="901"), 0, IF(ISNUMBER(MATCH(UPPER(TRIM(AC124)), {"A+","A","B+","B","C","D","P"}, 0)), 2, 0))</f>
        <v>2</v>
      </c>
      <c r="AV124" s="13">
        <f t="shared" si="144"/>
        <v>26</v>
      </c>
      <c r="AW124">
        <f t="shared" si="145"/>
        <v>26</v>
      </c>
      <c r="AX124" s="1">
        <f t="shared" si="146"/>
        <v>52</v>
      </c>
      <c r="AY124" s="13">
        <f t="shared" si="150"/>
        <v>368</v>
      </c>
    </row>
    <row r="125" spans="1:51">
      <c r="A125" s="7">
        <v>5063565</v>
      </c>
      <c r="B125" s="7"/>
      <c r="C125" s="33" t="s">
        <v>74</v>
      </c>
      <c r="D125" s="1" t="s">
        <v>47</v>
      </c>
      <c r="E125" s="3">
        <v>1</v>
      </c>
      <c r="F125" s="1" t="s">
        <v>48</v>
      </c>
      <c r="G125" s="1">
        <v>1461112</v>
      </c>
      <c r="H125" s="2" t="s">
        <v>53</v>
      </c>
      <c r="I125" s="5" t="s">
        <v>50</v>
      </c>
      <c r="J125" s="1">
        <v>14</v>
      </c>
      <c r="K125" s="13" t="str">
        <f t="shared" si="147"/>
        <v>P</v>
      </c>
      <c r="L125" s="1">
        <v>17</v>
      </c>
      <c r="M125" s="13" t="str">
        <f t="shared" si="148"/>
        <v>P</v>
      </c>
      <c r="AB125" s="7" t="str">
        <f t="shared" si="139"/>
        <v>31</v>
      </c>
      <c r="AC125" s="13" t="str">
        <f t="shared" si="140"/>
        <v>B+</v>
      </c>
      <c r="AD125" s="13" t="str">
        <f t="shared" si="151"/>
        <v>368</v>
      </c>
      <c r="AE125" s="1">
        <v>550</v>
      </c>
      <c r="AF125" s="15">
        <f t="shared" si="149"/>
        <v>66.909090909090907</v>
      </c>
      <c r="AG125" s="13" t="str">
        <f t="shared" si="149"/>
        <v>PASS</v>
      </c>
      <c r="AI125" s="1">
        <v>22</v>
      </c>
      <c r="AJ125" s="15">
        <f t="shared" si="152"/>
        <v>20</v>
      </c>
      <c r="AK125" s="16">
        <f t="shared" si="152"/>
        <v>154</v>
      </c>
      <c r="AL125" s="7">
        <f t="shared" si="152"/>
        <v>7</v>
      </c>
      <c r="AR125" s="7" t="str">
        <f t="shared" si="141"/>
        <v>A</v>
      </c>
      <c r="AS125" s="8">
        <f t="shared" si="142"/>
        <v>7</v>
      </c>
      <c r="AT125" s="8">
        <f t="shared" si="143"/>
        <v>14</v>
      </c>
      <c r="AU125" s="13">
        <f>IF(OR(UPPER(TRIM(AC125))="AB", AC125=901, AC125="901"), 0, IF(ISNUMBER(MATCH(UPPER(TRIM(AC125)), {"A+","A","B+","B","C","D","P"}, 0)), 2, 0))</f>
        <v>2</v>
      </c>
      <c r="AV125" s="13">
        <f t="shared" si="144"/>
        <v>31</v>
      </c>
      <c r="AW125">
        <f t="shared" si="145"/>
        <v>31</v>
      </c>
      <c r="AX125" s="1">
        <f t="shared" si="146"/>
        <v>62</v>
      </c>
      <c r="AY125" s="13">
        <f t="shared" si="150"/>
        <v>368</v>
      </c>
    </row>
    <row r="126" spans="1:51">
      <c r="A126" s="7">
        <v>5063565</v>
      </c>
      <c r="B126" s="7"/>
      <c r="C126" s="33" t="s">
        <v>74</v>
      </c>
      <c r="D126" s="1" t="s">
        <v>47</v>
      </c>
      <c r="E126" s="3">
        <v>1</v>
      </c>
      <c r="F126" s="1" t="s">
        <v>48</v>
      </c>
      <c r="G126" s="1">
        <v>1461113</v>
      </c>
      <c r="H126" s="2" t="s">
        <v>54</v>
      </c>
      <c r="I126" s="5" t="s">
        <v>50</v>
      </c>
      <c r="J126" s="1">
        <v>20</v>
      </c>
      <c r="K126" s="13" t="str">
        <f t="shared" si="147"/>
        <v>P</v>
      </c>
      <c r="L126" s="1">
        <v>19</v>
      </c>
      <c r="M126" s="13" t="str">
        <f t="shared" si="148"/>
        <v>P</v>
      </c>
      <c r="AB126" s="7" t="str">
        <f t="shared" si="139"/>
        <v>39</v>
      </c>
      <c r="AC126" s="13" t="str">
        <f t="shared" si="140"/>
        <v>A</v>
      </c>
      <c r="AD126" s="13" t="str">
        <f t="shared" si="151"/>
        <v>368</v>
      </c>
      <c r="AE126" s="1">
        <v>550</v>
      </c>
      <c r="AF126" s="15">
        <f t="shared" si="149"/>
        <v>66.909090909090907</v>
      </c>
      <c r="AG126" s="13" t="str">
        <f t="shared" si="149"/>
        <v>PASS</v>
      </c>
      <c r="AI126" s="1">
        <v>22</v>
      </c>
      <c r="AJ126" s="15">
        <f t="shared" si="152"/>
        <v>20</v>
      </c>
      <c r="AK126" s="16">
        <f t="shared" si="152"/>
        <v>154</v>
      </c>
      <c r="AL126" s="7">
        <f t="shared" si="152"/>
        <v>7</v>
      </c>
      <c r="AR126" s="7" t="str">
        <f t="shared" si="141"/>
        <v>A</v>
      </c>
      <c r="AS126" s="8">
        <f t="shared" si="142"/>
        <v>8</v>
      </c>
      <c r="AT126" s="8">
        <f t="shared" si="143"/>
        <v>16</v>
      </c>
      <c r="AU126" s="13">
        <f>IF(OR(UPPER(TRIM(AC126))="AB", AC126=901, AC126="901"), 0, IF(ISNUMBER(MATCH(UPPER(TRIM(AC126)), {"A+","A","B+","B","C","D","P"}, 0)), 2, 0))</f>
        <v>2</v>
      </c>
      <c r="AV126" s="13">
        <f t="shared" si="144"/>
        <v>39</v>
      </c>
      <c r="AW126">
        <f t="shared" si="145"/>
        <v>39</v>
      </c>
      <c r="AX126" s="1">
        <f t="shared" si="146"/>
        <v>78</v>
      </c>
      <c r="AY126" s="13">
        <f t="shared" si="150"/>
        <v>368</v>
      </c>
    </row>
    <row r="127" spans="1:51">
      <c r="A127" s="7">
        <v>5063565</v>
      </c>
      <c r="B127" s="7"/>
      <c r="C127" s="33" t="s">
        <v>74</v>
      </c>
      <c r="D127" s="1" t="s">
        <v>47</v>
      </c>
      <c r="E127" s="3">
        <v>1</v>
      </c>
      <c r="F127" s="1" t="s">
        <v>48</v>
      </c>
      <c r="G127" s="1">
        <v>1461411</v>
      </c>
      <c r="H127" s="2" t="s">
        <v>55</v>
      </c>
      <c r="I127" s="5" t="s">
        <v>50</v>
      </c>
      <c r="J127" s="1">
        <v>19</v>
      </c>
      <c r="K127" s="13" t="str">
        <f t="shared" si="147"/>
        <v>P</v>
      </c>
      <c r="L127" s="1">
        <v>14</v>
      </c>
      <c r="M127" s="13" t="str">
        <f t="shared" si="148"/>
        <v>P</v>
      </c>
      <c r="AB127" s="7" t="str">
        <f t="shared" si="139"/>
        <v>33</v>
      </c>
      <c r="AC127" s="13" t="str">
        <f t="shared" si="140"/>
        <v>B+</v>
      </c>
      <c r="AD127" s="13" t="str">
        <f t="shared" si="151"/>
        <v>368</v>
      </c>
      <c r="AE127" s="1">
        <v>550</v>
      </c>
      <c r="AF127" s="15">
        <f t="shared" si="149"/>
        <v>66.909090909090907</v>
      </c>
      <c r="AG127" s="13" t="str">
        <f t="shared" si="149"/>
        <v>PASS</v>
      </c>
      <c r="AI127" s="1">
        <v>22</v>
      </c>
      <c r="AJ127" s="15">
        <f t="shared" si="152"/>
        <v>20</v>
      </c>
      <c r="AK127" s="16">
        <f t="shared" si="152"/>
        <v>154</v>
      </c>
      <c r="AL127" s="7">
        <f t="shared" si="152"/>
        <v>7</v>
      </c>
      <c r="AR127" s="7" t="str">
        <f t="shared" si="141"/>
        <v>A</v>
      </c>
      <c r="AS127" s="8">
        <f t="shared" si="142"/>
        <v>7</v>
      </c>
      <c r="AT127" s="8">
        <f t="shared" si="143"/>
        <v>14</v>
      </c>
      <c r="AU127" s="13">
        <f>IF(OR(UPPER(TRIM(AC127))="AB", AC127=901, AC127="901"), 0, IF(ISNUMBER(MATCH(UPPER(TRIM(AC127)), {"A+","A","B+","B","C","D","P"}, 0)), 2, 0))</f>
        <v>2</v>
      </c>
      <c r="AV127" s="13">
        <f t="shared" si="144"/>
        <v>33</v>
      </c>
      <c r="AW127">
        <f t="shared" si="145"/>
        <v>33</v>
      </c>
      <c r="AX127" s="1">
        <f t="shared" si="146"/>
        <v>66</v>
      </c>
      <c r="AY127" s="13">
        <f t="shared" si="150"/>
        <v>368</v>
      </c>
    </row>
    <row r="128" spans="1:51">
      <c r="A128" s="7">
        <v>5063565</v>
      </c>
      <c r="B128" s="7"/>
      <c r="C128" s="33" t="s">
        <v>74</v>
      </c>
      <c r="D128" s="1" t="s">
        <v>47</v>
      </c>
      <c r="E128" s="3">
        <v>1</v>
      </c>
      <c r="F128" s="1" t="s">
        <v>48</v>
      </c>
      <c r="G128" s="1">
        <v>1461412</v>
      </c>
      <c r="H128" s="2" t="s">
        <v>56</v>
      </c>
      <c r="I128" s="5" t="s">
        <v>50</v>
      </c>
      <c r="J128" s="1">
        <v>14</v>
      </c>
      <c r="K128" s="13" t="str">
        <f t="shared" si="147"/>
        <v>P</v>
      </c>
      <c r="L128" s="1">
        <v>12</v>
      </c>
      <c r="M128" s="13" t="str">
        <f t="shared" si="148"/>
        <v>P</v>
      </c>
      <c r="AB128" s="7" t="str">
        <f t="shared" si="139"/>
        <v>26</v>
      </c>
      <c r="AC128" s="13" t="str">
        <f t="shared" si="140"/>
        <v>C</v>
      </c>
      <c r="AD128" s="13" t="str">
        <f t="shared" si="151"/>
        <v>368</v>
      </c>
      <c r="AE128" s="1">
        <v>550</v>
      </c>
      <c r="AF128" s="15">
        <f t="shared" si="149"/>
        <v>66.909090909090907</v>
      </c>
      <c r="AG128" s="13" t="str">
        <f t="shared" si="149"/>
        <v>PASS</v>
      </c>
      <c r="AI128" s="1">
        <v>22</v>
      </c>
      <c r="AJ128" s="15">
        <f t="shared" si="152"/>
        <v>20</v>
      </c>
      <c r="AK128" s="16">
        <f t="shared" si="152"/>
        <v>154</v>
      </c>
      <c r="AL128" s="7">
        <f t="shared" si="152"/>
        <v>7</v>
      </c>
      <c r="AR128" s="7" t="str">
        <f t="shared" si="141"/>
        <v>A</v>
      </c>
      <c r="AS128" s="8">
        <f t="shared" si="142"/>
        <v>5</v>
      </c>
      <c r="AT128" s="8">
        <f t="shared" si="143"/>
        <v>10</v>
      </c>
      <c r="AU128" s="13">
        <f>IF(OR(UPPER(TRIM(AC128))="AB", AC128=901, AC128="901"), 0, IF(ISNUMBER(MATCH(UPPER(TRIM(AC128)), {"A+","A","B+","B","C","D","P"}, 0)), 2, 0))</f>
        <v>2</v>
      </c>
      <c r="AV128" s="13">
        <f t="shared" si="144"/>
        <v>26</v>
      </c>
      <c r="AW128">
        <f t="shared" si="145"/>
        <v>26</v>
      </c>
      <c r="AX128" s="1">
        <f t="shared" si="146"/>
        <v>52</v>
      </c>
      <c r="AY128" s="13">
        <f t="shared" si="150"/>
        <v>368</v>
      </c>
    </row>
    <row r="129" spans="1:51">
      <c r="A129" s="7">
        <v>5063565</v>
      </c>
      <c r="B129" s="7"/>
      <c r="C129" s="33" t="s">
        <v>74</v>
      </c>
      <c r="D129" s="1" t="s">
        <v>47</v>
      </c>
      <c r="E129" s="3">
        <v>1</v>
      </c>
      <c r="F129" s="1" t="s">
        <v>48</v>
      </c>
      <c r="G129" s="1">
        <v>2511515</v>
      </c>
      <c r="H129" s="2" t="s">
        <v>57</v>
      </c>
      <c r="I129" s="5" t="s">
        <v>50</v>
      </c>
      <c r="J129" s="1">
        <v>14</v>
      </c>
      <c r="K129" s="13" t="str">
        <f t="shared" si="147"/>
        <v>P</v>
      </c>
      <c r="L129" s="1">
        <v>14</v>
      </c>
      <c r="M129" s="13" t="str">
        <f t="shared" si="148"/>
        <v>P</v>
      </c>
      <c r="AB129" s="7" t="str">
        <f t="shared" si="139"/>
        <v>28</v>
      </c>
      <c r="AC129" s="13" t="str">
        <f t="shared" si="140"/>
        <v>B</v>
      </c>
      <c r="AD129" s="13" t="str">
        <f t="shared" si="151"/>
        <v>368</v>
      </c>
      <c r="AE129" s="1">
        <v>550</v>
      </c>
      <c r="AF129" s="15">
        <f t="shared" si="149"/>
        <v>66.909090909090907</v>
      </c>
      <c r="AG129" s="13" t="str">
        <f t="shared" si="149"/>
        <v>PASS</v>
      </c>
      <c r="AI129" s="1">
        <v>22</v>
      </c>
      <c r="AJ129" s="15">
        <f t="shared" si="152"/>
        <v>20</v>
      </c>
      <c r="AK129" s="16">
        <f t="shared" si="152"/>
        <v>154</v>
      </c>
      <c r="AL129" s="7">
        <f t="shared" si="152"/>
        <v>7</v>
      </c>
      <c r="AR129" s="7" t="str">
        <f t="shared" si="141"/>
        <v>A</v>
      </c>
      <c r="AS129" s="8">
        <f t="shared" si="142"/>
        <v>6</v>
      </c>
      <c r="AT129" s="8">
        <f t="shared" si="143"/>
        <v>12</v>
      </c>
      <c r="AU129" s="13">
        <f>IF(OR(UPPER(TRIM(AC129))="AB", AC129=901, AC129="901"), 0, IF(ISNUMBER(MATCH(UPPER(TRIM(AC129)), {"A+","A","B+","B","C","D","P"}, 0)), 2, 0))</f>
        <v>2</v>
      </c>
      <c r="AV129" s="13">
        <f t="shared" si="144"/>
        <v>28</v>
      </c>
      <c r="AW129">
        <f t="shared" si="145"/>
        <v>28</v>
      </c>
      <c r="AX129" s="1">
        <f t="shared" si="146"/>
        <v>56.000000000000007</v>
      </c>
      <c r="AY129" s="13">
        <f t="shared" si="150"/>
        <v>368</v>
      </c>
    </row>
    <row r="130" spans="1:51">
      <c r="A130" s="7">
        <v>5063565</v>
      </c>
      <c r="B130" s="7"/>
      <c r="C130" s="33" t="s">
        <v>74</v>
      </c>
      <c r="D130" s="1" t="s">
        <v>47</v>
      </c>
      <c r="E130" s="3">
        <v>1</v>
      </c>
      <c r="F130" s="1" t="s">
        <v>48</v>
      </c>
      <c r="G130" s="1">
        <v>2521615</v>
      </c>
      <c r="H130" s="4" t="s">
        <v>58</v>
      </c>
      <c r="I130" s="5" t="s">
        <v>50</v>
      </c>
      <c r="J130" s="1">
        <v>20</v>
      </c>
      <c r="K130" s="13" t="str">
        <f t="shared" si="147"/>
        <v>P</v>
      </c>
      <c r="L130" s="1">
        <v>19</v>
      </c>
      <c r="M130" s="13" t="str">
        <f t="shared" si="148"/>
        <v>P</v>
      </c>
      <c r="AB130" s="7" t="str">
        <f t="shared" si="139"/>
        <v>39</v>
      </c>
      <c r="AC130" s="13" t="str">
        <f t="shared" si="140"/>
        <v>A</v>
      </c>
      <c r="AD130" s="13" t="str">
        <f t="shared" si="151"/>
        <v>368</v>
      </c>
      <c r="AE130" s="1">
        <v>550</v>
      </c>
      <c r="AF130" s="15">
        <f t="shared" si="149"/>
        <v>66.909090909090907</v>
      </c>
      <c r="AG130" s="13" t="str">
        <f t="shared" si="149"/>
        <v>PASS</v>
      </c>
      <c r="AI130" s="1">
        <v>22</v>
      </c>
      <c r="AJ130" s="15">
        <f t="shared" si="152"/>
        <v>20</v>
      </c>
      <c r="AK130" s="16">
        <f t="shared" si="152"/>
        <v>154</v>
      </c>
      <c r="AL130" s="7">
        <f t="shared" si="152"/>
        <v>7</v>
      </c>
      <c r="AR130" s="7" t="str">
        <f t="shared" si="141"/>
        <v>A</v>
      </c>
      <c r="AS130" s="8">
        <f t="shared" si="142"/>
        <v>8</v>
      </c>
      <c r="AT130" s="8">
        <f t="shared" si="143"/>
        <v>16</v>
      </c>
      <c r="AU130" s="13">
        <f>IF(OR(UPPER(TRIM(AC130))="AB", AC130=901, AC130="901"), 0, IF(ISNUMBER(MATCH(UPPER(TRIM(AC130)), {"A+","A","B+","B","C","D","P"}, 0)), 2, 0))</f>
        <v>2</v>
      </c>
      <c r="AV130" s="13">
        <f t="shared" si="144"/>
        <v>39</v>
      </c>
      <c r="AW130">
        <f t="shared" si="145"/>
        <v>39</v>
      </c>
      <c r="AX130" s="1">
        <f t="shared" si="146"/>
        <v>78</v>
      </c>
      <c r="AY130" s="13">
        <f t="shared" si="150"/>
        <v>368</v>
      </c>
    </row>
    <row r="131" spans="1:51">
      <c r="A131" s="7">
        <v>5063565</v>
      </c>
      <c r="B131" s="7"/>
      <c r="C131" s="33" t="s">
        <v>74</v>
      </c>
      <c r="D131" s="1" t="s">
        <v>47</v>
      </c>
      <c r="E131" s="3">
        <v>1</v>
      </c>
      <c r="F131" s="1" t="s">
        <v>48</v>
      </c>
      <c r="G131" s="1">
        <v>2531511</v>
      </c>
      <c r="H131" s="2" t="s">
        <v>59</v>
      </c>
      <c r="I131" s="5" t="s">
        <v>50</v>
      </c>
      <c r="J131" s="1">
        <v>18</v>
      </c>
      <c r="K131" s="13" t="str">
        <f t="shared" si="147"/>
        <v>P</v>
      </c>
      <c r="L131" s="1">
        <v>15</v>
      </c>
      <c r="M131" s="13" t="str">
        <f t="shared" si="148"/>
        <v>P</v>
      </c>
      <c r="AB131" s="7" t="str">
        <f t="shared" si="139"/>
        <v>33</v>
      </c>
      <c r="AC131" s="13" t="str">
        <f t="shared" si="140"/>
        <v>B+</v>
      </c>
      <c r="AD131" s="13" t="str">
        <f t="shared" si="151"/>
        <v>368</v>
      </c>
      <c r="AE131" s="1">
        <v>550</v>
      </c>
      <c r="AF131" s="15">
        <f t="shared" si="149"/>
        <v>66.909090909090907</v>
      </c>
      <c r="AG131" s="13" t="str">
        <f t="shared" si="149"/>
        <v>PASS</v>
      </c>
      <c r="AI131" s="1">
        <v>22</v>
      </c>
      <c r="AJ131" s="15">
        <f t="shared" si="152"/>
        <v>20</v>
      </c>
      <c r="AK131" s="16">
        <f t="shared" si="152"/>
        <v>154</v>
      </c>
      <c r="AL131" s="7">
        <f t="shared" si="152"/>
        <v>7</v>
      </c>
      <c r="AR131" s="7" t="str">
        <f t="shared" si="141"/>
        <v>A</v>
      </c>
      <c r="AS131" s="8">
        <f t="shared" si="142"/>
        <v>7</v>
      </c>
      <c r="AT131" s="8">
        <f t="shared" si="143"/>
        <v>14</v>
      </c>
      <c r="AU131" s="13">
        <f>IF(OR(UPPER(TRIM(AC131))="AB", AC131=901, AC131="901"), 0, IF(ISNUMBER(MATCH(UPPER(TRIM(AC131)), {"A+","A","B+","B","C","D","P"}, 0)), 2, 0))</f>
        <v>2</v>
      </c>
      <c r="AV131" s="13">
        <f t="shared" si="144"/>
        <v>33</v>
      </c>
      <c r="AW131">
        <f t="shared" si="145"/>
        <v>33</v>
      </c>
      <c r="AX131" s="1">
        <f t="shared" si="146"/>
        <v>66</v>
      </c>
      <c r="AY131" s="13">
        <f t="shared" si="150"/>
        <v>368</v>
      </c>
    </row>
    <row r="132" spans="1:51">
      <c r="A132" s="7">
        <v>5063565</v>
      </c>
      <c r="B132" s="7"/>
      <c r="C132" s="33" t="s">
        <v>74</v>
      </c>
      <c r="D132" s="1" t="s">
        <v>47</v>
      </c>
      <c r="E132" s="3">
        <v>1</v>
      </c>
      <c r="F132" s="1" t="s">
        <v>48</v>
      </c>
      <c r="G132" s="1">
        <v>2541515</v>
      </c>
      <c r="H132" s="2" t="s">
        <v>60</v>
      </c>
      <c r="I132" s="5" t="s">
        <v>50</v>
      </c>
      <c r="J132" s="1">
        <v>19</v>
      </c>
      <c r="K132" s="13" t="str">
        <f t="shared" si="147"/>
        <v>P</v>
      </c>
      <c r="L132" s="6">
        <v>15</v>
      </c>
      <c r="M132" s="13" t="str">
        <f t="shared" si="148"/>
        <v>P</v>
      </c>
      <c r="AB132" s="7" t="str">
        <f t="shared" si="139"/>
        <v>34</v>
      </c>
      <c r="AC132" s="13" t="str">
        <f t="shared" si="140"/>
        <v>B+</v>
      </c>
      <c r="AD132" s="13" t="str">
        <f t="shared" si="151"/>
        <v>368</v>
      </c>
      <c r="AE132" s="1">
        <v>550</v>
      </c>
      <c r="AF132" s="15">
        <f t="shared" si="149"/>
        <v>66.909090909090907</v>
      </c>
      <c r="AG132" s="13" t="str">
        <f t="shared" si="149"/>
        <v>PASS</v>
      </c>
      <c r="AI132" s="1">
        <v>22</v>
      </c>
      <c r="AJ132" s="15">
        <f t="shared" si="152"/>
        <v>20</v>
      </c>
      <c r="AK132" s="16">
        <f t="shared" si="152"/>
        <v>154</v>
      </c>
      <c r="AL132" s="7">
        <f t="shared" si="152"/>
        <v>7</v>
      </c>
      <c r="AR132" s="7" t="str">
        <f t="shared" si="141"/>
        <v>A</v>
      </c>
      <c r="AS132" s="8">
        <f t="shared" si="142"/>
        <v>7</v>
      </c>
      <c r="AT132" s="8">
        <f t="shared" si="143"/>
        <v>14</v>
      </c>
      <c r="AU132" s="13">
        <f>IF(OR(UPPER(TRIM(AC132))="AB", AC132=901, AC132="901"), 0, IF(ISNUMBER(MATCH(UPPER(TRIM(AC132)), {"A+","A","B+","B","C","D","P"}, 0)), 2, 0))</f>
        <v>2</v>
      </c>
      <c r="AV132" s="13">
        <f t="shared" si="144"/>
        <v>34</v>
      </c>
      <c r="AW132">
        <f t="shared" si="145"/>
        <v>34</v>
      </c>
      <c r="AX132" s="1">
        <f t="shared" si="146"/>
        <v>68</v>
      </c>
      <c r="AY132" s="13">
        <f t="shared" si="150"/>
        <v>368</v>
      </c>
    </row>
    <row r="134" spans="1:51" s="19" customFormat="1">
      <c r="A134" s="14">
        <v>5068084</v>
      </c>
      <c r="B134" s="14"/>
      <c r="C134" s="34" t="s">
        <v>75</v>
      </c>
      <c r="D134" s="18" t="s">
        <v>47</v>
      </c>
      <c r="E134" s="20">
        <v>1</v>
      </c>
      <c r="F134" s="18" t="s">
        <v>48</v>
      </c>
      <c r="G134" s="18">
        <v>1011312</v>
      </c>
      <c r="H134" s="21" t="s">
        <v>49</v>
      </c>
      <c r="I134" s="22" t="s">
        <v>50</v>
      </c>
      <c r="J134" s="23">
        <v>18</v>
      </c>
      <c r="K134" s="24" t="str">
        <f>IF(OR(UPPER(TRIM(J134))="AB",J134=901,J134="901"),"F",IF(J134&gt;=8,"P","F"))</f>
        <v>P</v>
      </c>
      <c r="L134" s="18">
        <v>25</v>
      </c>
      <c r="M134" s="24" t="str">
        <f>IF(OR(UPPER(TRIM(L134))="AB",L134=901,L134="901"),"F",IF(L134&gt;=8,"P","F"))</f>
        <v>P</v>
      </c>
      <c r="N134" s="24"/>
      <c r="O134" s="24"/>
      <c r="P134" s="24"/>
      <c r="Q134" s="24"/>
      <c r="R134" s="24"/>
      <c r="S134" s="24"/>
      <c r="T134" s="24"/>
      <c r="U134" s="24"/>
      <c r="V134" s="24"/>
      <c r="W134" s="24"/>
      <c r="X134" s="24"/>
      <c r="Y134" s="24"/>
      <c r="Z134" s="24"/>
      <c r="AA134" s="14"/>
      <c r="AB134" s="14" t="str">
        <f t="shared" ref="AB134:AB144" si="153">AV134 &amp; IF(AA134&lt;&gt;"", " @ " &amp; AA134, "")</f>
        <v>43</v>
      </c>
      <c r="AC134" s="24" t="str">
        <f t="shared" ref="AC134:AC144" si="154">IF(AX134&gt;=90,"O",
IF(AX134&gt;=80,"A+",
IF(AX134&gt;=70,"A",
IF(AX134&gt;=60,"B+",
IF(AX134&gt;=55,"B",
IF(AX134&gt;=50,"C",
IF(AX134&gt;=40,"D","F")))))))</f>
        <v>A+</v>
      </c>
      <c r="AD134" s="24" t="str">
        <f>SUM(AV134:AV144) &amp; IF(SUM(AA134:AA144)&gt;0, " @ " &amp; SUM(AA134:AA144), "")</f>
        <v>420</v>
      </c>
      <c r="AE134" s="18">
        <v>550</v>
      </c>
      <c r="AF134" s="25">
        <f>AY134/AE134*100</f>
        <v>76.363636363636374</v>
      </c>
      <c r="AG134" s="24" t="str" cm="1">
        <f t="array" ref="AG134">IF(
  SUMPRODUCT(--(IFERROR(VALUE(J134:J144),9999)&lt;8))
  + SUMPRODUCT(--(IFERROR(VALUE(L134:L144),9999)&lt;12))
  + COUNTIF(J134:J144,"AB") + COUNTIF(L134:L144,"AB")
  + COUNTIF(J134:J144,901) + COUNTIF(L134:L144,901) &gt; 0,
  "ATKT",
  "PASS"
)</f>
        <v>PASS</v>
      </c>
      <c r="AH134" s="26"/>
      <c r="AI134" s="18">
        <v>22</v>
      </c>
      <c r="AJ134" s="25">
        <f>SUM(AU134:AU144)</f>
        <v>22</v>
      </c>
      <c r="AK134" s="27">
        <f>SUM(AT134:AT144)</f>
        <v>178</v>
      </c>
      <c r="AL134" s="14">
        <f>IF(UPPER(TRIM(AG134))="ATKT",0,ROUND( (SUM(AT134:AT144) /22), 2))</f>
        <v>8.09</v>
      </c>
      <c r="AM134" s="20"/>
      <c r="AN134" s="20"/>
      <c r="AO134" s="20"/>
      <c r="AP134" s="20"/>
      <c r="AQ134" s="18"/>
      <c r="AR134" s="14" t="str">
        <f t="shared" ref="AR134:AR144" si="155">IF(AL134&gt;=9,"O", IF(AL134&gt;=8,"A+", IF(AL134&gt;=7,"A", IF(AL134&gt;=6,"B+", IF(AL134&gt;=5.5,"B", IF(AL134&gt;=5,"C", IF(AL134&gt;=4,"D","F")))))))</f>
        <v>A+</v>
      </c>
      <c r="AS134" s="28">
        <f t="shared" ref="AS134:AS144" si="156">IF(AX134&gt;=90,10,
IF(AX134&gt;=80,9,
IF(AX134&gt;=70,8,
IF(AX134&gt;=60,7,
IF(AX134&gt;=55,6,
IF(AX134&gt;=50,5,
IF(AX134&gt;=40,4,0)))))))</f>
        <v>9</v>
      </c>
      <c r="AT134" s="28">
        <f t="shared" ref="AT134:AT144" si="157">AS134*I134</f>
        <v>18</v>
      </c>
      <c r="AU134" s="24">
        <f>IF(OR(UPPER(TRIM(AC134))="AB", AC134=901, AC134="901"), 0, IF(ISNUMBER(MATCH(UPPER(TRIM(AC134)), {"A+","A","B+","B","C","D","P"}, 0)), 2, 0))</f>
        <v>2</v>
      </c>
      <c r="AV134" s="24">
        <f t="shared" ref="AV134:AV144" si="158">SUM(
IF(OR(UPPER(TRIM(J134))="AB",J134=901,J134="901"),0,IFERROR(VALUE(J134),0)),
IF(OR(UPPER(TRIM(L134))="AB",L134=901,L134="901"),0,IFERROR(VALUE(L134),0)),
IF(OR(UPPER(TRIM(N134))="AB",N134=901,N134="901"),0,IFERROR(VALUE(N134),0))
)</f>
        <v>43</v>
      </c>
      <c r="AW134" s="19">
        <f t="shared" ref="AW134:AW144" si="159">AA134+AV134</f>
        <v>43</v>
      </c>
      <c r="AX134" s="18">
        <f t="shared" ref="AX134:AX144" si="160">(AW134 / 50) * 100</f>
        <v>86</v>
      </c>
      <c r="AY134" s="24">
        <f>SUM(AW134:AW144)</f>
        <v>420</v>
      </c>
    </row>
    <row r="135" spans="1:51">
      <c r="A135" s="7">
        <v>5068084</v>
      </c>
      <c r="B135" s="7"/>
      <c r="C135" s="33" t="s">
        <v>75</v>
      </c>
      <c r="D135" s="1" t="s">
        <v>47</v>
      </c>
      <c r="E135" s="3">
        <v>1</v>
      </c>
      <c r="F135" s="1" t="s">
        <v>48</v>
      </c>
      <c r="G135" s="1">
        <v>1171312</v>
      </c>
      <c r="H135" s="2" t="s">
        <v>51</v>
      </c>
      <c r="I135" s="5" t="s">
        <v>50</v>
      </c>
      <c r="J135" s="1">
        <v>18</v>
      </c>
      <c r="K135" s="13" t="str">
        <f t="shared" ref="K135:K144" si="161">IF(OR(UPPER(TRIM(J135))="AB",J135=901,J135="901"),"F",IF(J135&gt;=8,"P","F"))</f>
        <v>P</v>
      </c>
      <c r="L135" s="1">
        <v>15</v>
      </c>
      <c r="M135" s="13" t="str">
        <f t="shared" ref="M135:M144" si="162">IF(OR(UPPER(TRIM(L135))="AB",L135=901,L135="901"),"F",IF(L135&gt;=8,"P","F"))</f>
        <v>P</v>
      </c>
      <c r="AB135" s="7" t="str">
        <f t="shared" si="153"/>
        <v>33</v>
      </c>
      <c r="AC135" s="13" t="str">
        <f t="shared" si="154"/>
        <v>B+</v>
      </c>
      <c r="AD135" s="13" t="str">
        <f>AD134</f>
        <v>420</v>
      </c>
      <c r="AE135" s="1">
        <v>550</v>
      </c>
      <c r="AF135" s="15">
        <f t="shared" ref="AF135:AG144" si="163">AF134</f>
        <v>76.363636363636374</v>
      </c>
      <c r="AG135" s="13" t="str">
        <f t="shared" si="163"/>
        <v>PASS</v>
      </c>
      <c r="AI135" s="1">
        <v>22</v>
      </c>
      <c r="AJ135" s="15">
        <f>AJ134</f>
        <v>22</v>
      </c>
      <c r="AK135" s="16">
        <f>AK134</f>
        <v>178</v>
      </c>
      <c r="AL135" s="7">
        <f>AL134</f>
        <v>8.09</v>
      </c>
      <c r="AR135" s="7" t="str">
        <f t="shared" si="155"/>
        <v>A+</v>
      </c>
      <c r="AS135" s="8">
        <f t="shared" si="156"/>
        <v>7</v>
      </c>
      <c r="AT135" s="8">
        <f t="shared" si="157"/>
        <v>14</v>
      </c>
      <c r="AU135" s="13">
        <f>IF(OR(UPPER(TRIM(AC135))="AB", AC135=901, AC135="901"), 0, IF(ISNUMBER(MATCH(UPPER(TRIM(AC135)), {"A+","A","B+","B","C","D","P"}, 0)), 2, 0))</f>
        <v>2</v>
      </c>
      <c r="AV135" s="13">
        <f t="shared" si="158"/>
        <v>33</v>
      </c>
      <c r="AW135">
        <f t="shared" si="159"/>
        <v>33</v>
      </c>
      <c r="AX135" s="1">
        <f t="shared" si="160"/>
        <v>66</v>
      </c>
      <c r="AY135" s="13">
        <f t="shared" ref="AY135:AY144" si="164">AY134</f>
        <v>420</v>
      </c>
    </row>
    <row r="136" spans="1:51">
      <c r="A136" s="7">
        <v>5068084</v>
      </c>
      <c r="B136" s="7"/>
      <c r="C136" s="33" t="s">
        <v>75</v>
      </c>
      <c r="D136" s="1" t="s">
        <v>47</v>
      </c>
      <c r="E136" s="3">
        <v>1</v>
      </c>
      <c r="F136" s="1" t="s">
        <v>48</v>
      </c>
      <c r="G136" s="1">
        <v>1461111</v>
      </c>
      <c r="H136" s="2" t="s">
        <v>52</v>
      </c>
      <c r="I136" s="5" t="s">
        <v>50</v>
      </c>
      <c r="J136" s="1">
        <v>16</v>
      </c>
      <c r="K136" s="13" t="str">
        <f t="shared" si="161"/>
        <v>P</v>
      </c>
      <c r="L136" s="1">
        <v>23</v>
      </c>
      <c r="M136" s="13" t="str">
        <f t="shared" si="162"/>
        <v>P</v>
      </c>
      <c r="AB136" s="7" t="str">
        <f t="shared" si="153"/>
        <v>39</v>
      </c>
      <c r="AC136" s="13" t="str">
        <f t="shared" si="154"/>
        <v>A</v>
      </c>
      <c r="AD136" s="13" t="str">
        <f t="shared" ref="AD136:AD144" si="165">AD135</f>
        <v>420</v>
      </c>
      <c r="AE136" s="1">
        <v>550</v>
      </c>
      <c r="AF136" s="15">
        <f t="shared" si="163"/>
        <v>76.363636363636374</v>
      </c>
      <c r="AG136" s="13" t="str">
        <f t="shared" si="163"/>
        <v>PASS</v>
      </c>
      <c r="AI136" s="1">
        <v>22</v>
      </c>
      <c r="AJ136" s="15">
        <f t="shared" ref="AJ136:AL144" si="166">AJ135</f>
        <v>22</v>
      </c>
      <c r="AK136" s="16">
        <f t="shared" si="166"/>
        <v>178</v>
      </c>
      <c r="AL136" s="7">
        <f t="shared" si="166"/>
        <v>8.09</v>
      </c>
      <c r="AR136" s="7" t="str">
        <f t="shared" si="155"/>
        <v>A+</v>
      </c>
      <c r="AS136" s="8">
        <f t="shared" si="156"/>
        <v>8</v>
      </c>
      <c r="AT136" s="8">
        <f t="shared" si="157"/>
        <v>16</v>
      </c>
      <c r="AU136" s="13">
        <f>IF(OR(UPPER(TRIM(AC136))="AB", AC136=901, AC136="901"), 0, IF(ISNUMBER(MATCH(UPPER(TRIM(AC136)), {"A+","A","B+","B","C","D","P"}, 0)), 2, 0))</f>
        <v>2</v>
      </c>
      <c r="AV136" s="13">
        <f t="shared" si="158"/>
        <v>39</v>
      </c>
      <c r="AW136">
        <f t="shared" si="159"/>
        <v>39</v>
      </c>
      <c r="AX136" s="1">
        <f t="shared" si="160"/>
        <v>78</v>
      </c>
      <c r="AY136" s="13">
        <f t="shared" si="164"/>
        <v>420</v>
      </c>
    </row>
    <row r="137" spans="1:51">
      <c r="A137" s="7">
        <v>5068084</v>
      </c>
      <c r="B137" s="7"/>
      <c r="C137" s="33" t="s">
        <v>75</v>
      </c>
      <c r="D137" s="1" t="s">
        <v>47</v>
      </c>
      <c r="E137" s="3">
        <v>1</v>
      </c>
      <c r="F137" s="1" t="s">
        <v>48</v>
      </c>
      <c r="G137" s="1">
        <v>1461112</v>
      </c>
      <c r="H137" s="2" t="s">
        <v>53</v>
      </c>
      <c r="I137" s="5" t="s">
        <v>50</v>
      </c>
      <c r="J137" s="1">
        <v>16</v>
      </c>
      <c r="K137" s="13" t="str">
        <f t="shared" si="161"/>
        <v>P</v>
      </c>
      <c r="L137" s="1">
        <v>21</v>
      </c>
      <c r="M137" s="13" t="str">
        <f t="shared" si="162"/>
        <v>P</v>
      </c>
      <c r="AB137" s="7" t="str">
        <f t="shared" si="153"/>
        <v>37</v>
      </c>
      <c r="AC137" s="13" t="str">
        <f t="shared" si="154"/>
        <v>A</v>
      </c>
      <c r="AD137" s="13" t="str">
        <f t="shared" si="165"/>
        <v>420</v>
      </c>
      <c r="AE137" s="1">
        <v>550</v>
      </c>
      <c r="AF137" s="15">
        <f t="shared" si="163"/>
        <v>76.363636363636374</v>
      </c>
      <c r="AG137" s="13" t="str">
        <f t="shared" si="163"/>
        <v>PASS</v>
      </c>
      <c r="AI137" s="1">
        <v>22</v>
      </c>
      <c r="AJ137" s="15">
        <f t="shared" si="166"/>
        <v>22</v>
      </c>
      <c r="AK137" s="16">
        <f t="shared" si="166"/>
        <v>178</v>
      </c>
      <c r="AL137" s="7">
        <f t="shared" si="166"/>
        <v>8.09</v>
      </c>
      <c r="AR137" s="7" t="str">
        <f t="shared" si="155"/>
        <v>A+</v>
      </c>
      <c r="AS137" s="8">
        <f t="shared" si="156"/>
        <v>8</v>
      </c>
      <c r="AT137" s="8">
        <f t="shared" si="157"/>
        <v>16</v>
      </c>
      <c r="AU137" s="13">
        <f>IF(OR(UPPER(TRIM(AC137))="AB", AC137=901, AC137="901"), 0, IF(ISNUMBER(MATCH(UPPER(TRIM(AC137)), {"A+","A","B+","B","C","D","P"}, 0)), 2, 0))</f>
        <v>2</v>
      </c>
      <c r="AV137" s="13">
        <f t="shared" si="158"/>
        <v>37</v>
      </c>
      <c r="AW137">
        <f t="shared" si="159"/>
        <v>37</v>
      </c>
      <c r="AX137" s="1">
        <f t="shared" si="160"/>
        <v>74</v>
      </c>
      <c r="AY137" s="13">
        <f t="shared" si="164"/>
        <v>420</v>
      </c>
    </row>
    <row r="138" spans="1:51">
      <c r="A138" s="7">
        <v>5068084</v>
      </c>
      <c r="B138" s="7"/>
      <c r="C138" s="33" t="s">
        <v>75</v>
      </c>
      <c r="D138" s="1" t="s">
        <v>47</v>
      </c>
      <c r="E138" s="3">
        <v>1</v>
      </c>
      <c r="F138" s="1" t="s">
        <v>48</v>
      </c>
      <c r="G138" s="1">
        <v>1461113</v>
      </c>
      <c r="H138" s="2" t="s">
        <v>54</v>
      </c>
      <c r="I138" s="5" t="s">
        <v>50</v>
      </c>
      <c r="J138" s="1">
        <v>20</v>
      </c>
      <c r="K138" s="13" t="str">
        <f t="shared" si="161"/>
        <v>P</v>
      </c>
      <c r="L138" s="1">
        <v>24</v>
      </c>
      <c r="M138" s="13" t="str">
        <f t="shared" si="162"/>
        <v>P</v>
      </c>
      <c r="AB138" s="7" t="str">
        <f t="shared" si="153"/>
        <v>44</v>
      </c>
      <c r="AC138" s="13" t="str">
        <f t="shared" si="154"/>
        <v>A+</v>
      </c>
      <c r="AD138" s="13" t="str">
        <f t="shared" si="165"/>
        <v>420</v>
      </c>
      <c r="AE138" s="1">
        <v>550</v>
      </c>
      <c r="AF138" s="15">
        <f t="shared" si="163"/>
        <v>76.363636363636374</v>
      </c>
      <c r="AG138" s="13" t="str">
        <f t="shared" si="163"/>
        <v>PASS</v>
      </c>
      <c r="AI138" s="1">
        <v>22</v>
      </c>
      <c r="AJ138" s="15">
        <f t="shared" si="166"/>
        <v>22</v>
      </c>
      <c r="AK138" s="16">
        <f t="shared" si="166"/>
        <v>178</v>
      </c>
      <c r="AL138" s="7">
        <f t="shared" si="166"/>
        <v>8.09</v>
      </c>
      <c r="AR138" s="7" t="str">
        <f t="shared" si="155"/>
        <v>A+</v>
      </c>
      <c r="AS138" s="8">
        <f t="shared" si="156"/>
        <v>9</v>
      </c>
      <c r="AT138" s="8">
        <f t="shared" si="157"/>
        <v>18</v>
      </c>
      <c r="AU138" s="13">
        <f>IF(OR(UPPER(TRIM(AC138))="AB", AC138=901, AC138="901"), 0, IF(ISNUMBER(MATCH(UPPER(TRIM(AC138)), {"A+","A","B+","B","C","D","P"}, 0)), 2, 0))</f>
        <v>2</v>
      </c>
      <c r="AV138" s="13">
        <f t="shared" si="158"/>
        <v>44</v>
      </c>
      <c r="AW138">
        <f t="shared" si="159"/>
        <v>44</v>
      </c>
      <c r="AX138" s="1">
        <f t="shared" si="160"/>
        <v>88</v>
      </c>
      <c r="AY138" s="13">
        <f t="shared" si="164"/>
        <v>420</v>
      </c>
    </row>
    <row r="139" spans="1:51">
      <c r="A139" s="7">
        <v>5068084</v>
      </c>
      <c r="B139" s="7"/>
      <c r="C139" s="33" t="s">
        <v>75</v>
      </c>
      <c r="D139" s="1" t="s">
        <v>47</v>
      </c>
      <c r="E139" s="3">
        <v>1</v>
      </c>
      <c r="F139" s="1" t="s">
        <v>48</v>
      </c>
      <c r="G139" s="1">
        <v>1461411</v>
      </c>
      <c r="H139" s="2" t="s">
        <v>55</v>
      </c>
      <c r="I139" s="5" t="s">
        <v>50</v>
      </c>
      <c r="J139" s="1">
        <v>18</v>
      </c>
      <c r="K139" s="13" t="str">
        <f t="shared" si="161"/>
        <v>P</v>
      </c>
      <c r="L139" s="1">
        <v>23</v>
      </c>
      <c r="M139" s="13" t="str">
        <f t="shared" si="162"/>
        <v>P</v>
      </c>
      <c r="AB139" s="7" t="str">
        <f t="shared" si="153"/>
        <v>41</v>
      </c>
      <c r="AC139" s="13" t="str">
        <f t="shared" si="154"/>
        <v>A+</v>
      </c>
      <c r="AD139" s="13" t="str">
        <f t="shared" si="165"/>
        <v>420</v>
      </c>
      <c r="AE139" s="1">
        <v>550</v>
      </c>
      <c r="AF139" s="15">
        <f t="shared" si="163"/>
        <v>76.363636363636374</v>
      </c>
      <c r="AG139" s="13" t="str">
        <f t="shared" si="163"/>
        <v>PASS</v>
      </c>
      <c r="AI139" s="1">
        <v>22</v>
      </c>
      <c r="AJ139" s="15">
        <f t="shared" si="166"/>
        <v>22</v>
      </c>
      <c r="AK139" s="16">
        <f t="shared" si="166"/>
        <v>178</v>
      </c>
      <c r="AL139" s="7">
        <f t="shared" si="166"/>
        <v>8.09</v>
      </c>
      <c r="AR139" s="7" t="str">
        <f t="shared" si="155"/>
        <v>A+</v>
      </c>
      <c r="AS139" s="8">
        <f t="shared" si="156"/>
        <v>9</v>
      </c>
      <c r="AT139" s="8">
        <f t="shared" si="157"/>
        <v>18</v>
      </c>
      <c r="AU139" s="13">
        <f>IF(OR(UPPER(TRIM(AC139))="AB", AC139=901, AC139="901"), 0, IF(ISNUMBER(MATCH(UPPER(TRIM(AC139)), {"A+","A","B+","B","C","D","P"}, 0)), 2, 0))</f>
        <v>2</v>
      </c>
      <c r="AV139" s="13">
        <f t="shared" si="158"/>
        <v>41</v>
      </c>
      <c r="AW139">
        <f t="shared" si="159"/>
        <v>41</v>
      </c>
      <c r="AX139" s="1">
        <f t="shared" si="160"/>
        <v>82</v>
      </c>
      <c r="AY139" s="13">
        <f t="shared" si="164"/>
        <v>420</v>
      </c>
    </row>
    <row r="140" spans="1:51">
      <c r="A140" s="7">
        <v>5068084</v>
      </c>
      <c r="B140" s="7"/>
      <c r="C140" s="33" t="s">
        <v>75</v>
      </c>
      <c r="D140" s="1" t="s">
        <v>47</v>
      </c>
      <c r="E140" s="3">
        <v>1</v>
      </c>
      <c r="F140" s="1" t="s">
        <v>48</v>
      </c>
      <c r="G140" s="1">
        <v>1461412</v>
      </c>
      <c r="H140" s="2" t="s">
        <v>56</v>
      </c>
      <c r="I140" s="5" t="s">
        <v>50</v>
      </c>
      <c r="J140" s="1">
        <v>16</v>
      </c>
      <c r="K140" s="13" t="str">
        <f t="shared" si="161"/>
        <v>P</v>
      </c>
      <c r="L140" s="1">
        <v>19</v>
      </c>
      <c r="M140" s="13" t="str">
        <f t="shared" si="162"/>
        <v>P</v>
      </c>
      <c r="AB140" s="7" t="str">
        <f t="shared" si="153"/>
        <v>35</v>
      </c>
      <c r="AC140" s="13" t="str">
        <f t="shared" si="154"/>
        <v>A</v>
      </c>
      <c r="AD140" s="13" t="str">
        <f t="shared" si="165"/>
        <v>420</v>
      </c>
      <c r="AE140" s="1">
        <v>550</v>
      </c>
      <c r="AF140" s="15">
        <f t="shared" si="163"/>
        <v>76.363636363636374</v>
      </c>
      <c r="AG140" s="13" t="str">
        <f t="shared" si="163"/>
        <v>PASS</v>
      </c>
      <c r="AI140" s="1">
        <v>22</v>
      </c>
      <c r="AJ140" s="15">
        <f t="shared" si="166"/>
        <v>22</v>
      </c>
      <c r="AK140" s="16">
        <f t="shared" si="166"/>
        <v>178</v>
      </c>
      <c r="AL140" s="7">
        <f t="shared" si="166"/>
        <v>8.09</v>
      </c>
      <c r="AR140" s="7" t="str">
        <f t="shared" si="155"/>
        <v>A+</v>
      </c>
      <c r="AS140" s="8">
        <f t="shared" si="156"/>
        <v>8</v>
      </c>
      <c r="AT140" s="8">
        <f t="shared" si="157"/>
        <v>16</v>
      </c>
      <c r="AU140" s="13">
        <f>IF(OR(UPPER(TRIM(AC140))="AB", AC140=901, AC140="901"), 0, IF(ISNUMBER(MATCH(UPPER(TRIM(AC140)), {"A+","A","B+","B","C","D","P"}, 0)), 2, 0))</f>
        <v>2</v>
      </c>
      <c r="AV140" s="13">
        <f t="shared" si="158"/>
        <v>35</v>
      </c>
      <c r="AW140">
        <f t="shared" si="159"/>
        <v>35</v>
      </c>
      <c r="AX140" s="1">
        <f t="shared" si="160"/>
        <v>70</v>
      </c>
      <c r="AY140" s="13">
        <f t="shared" si="164"/>
        <v>420</v>
      </c>
    </row>
    <row r="141" spans="1:51">
      <c r="A141" s="7">
        <v>5068084</v>
      </c>
      <c r="B141" s="7"/>
      <c r="C141" s="33" t="s">
        <v>75</v>
      </c>
      <c r="D141" s="1" t="s">
        <v>47</v>
      </c>
      <c r="E141" s="3">
        <v>1</v>
      </c>
      <c r="F141" s="1" t="s">
        <v>48</v>
      </c>
      <c r="G141" s="1">
        <v>2511515</v>
      </c>
      <c r="H141" s="2" t="s">
        <v>57</v>
      </c>
      <c r="I141" s="5" t="s">
        <v>50</v>
      </c>
      <c r="J141" s="1">
        <v>16</v>
      </c>
      <c r="K141" s="13" t="str">
        <f t="shared" si="161"/>
        <v>P</v>
      </c>
      <c r="L141" s="1">
        <v>17</v>
      </c>
      <c r="M141" s="13" t="str">
        <f t="shared" si="162"/>
        <v>P</v>
      </c>
      <c r="AB141" s="7" t="str">
        <f t="shared" si="153"/>
        <v>33</v>
      </c>
      <c r="AC141" s="13" t="str">
        <f t="shared" si="154"/>
        <v>B+</v>
      </c>
      <c r="AD141" s="13" t="str">
        <f t="shared" si="165"/>
        <v>420</v>
      </c>
      <c r="AE141" s="1">
        <v>550</v>
      </c>
      <c r="AF141" s="15">
        <f t="shared" si="163"/>
        <v>76.363636363636374</v>
      </c>
      <c r="AG141" s="13" t="str">
        <f t="shared" si="163"/>
        <v>PASS</v>
      </c>
      <c r="AI141" s="1">
        <v>22</v>
      </c>
      <c r="AJ141" s="15">
        <f t="shared" si="166"/>
        <v>22</v>
      </c>
      <c r="AK141" s="16">
        <f t="shared" si="166"/>
        <v>178</v>
      </c>
      <c r="AL141" s="7">
        <f t="shared" si="166"/>
        <v>8.09</v>
      </c>
      <c r="AR141" s="7" t="str">
        <f t="shared" si="155"/>
        <v>A+</v>
      </c>
      <c r="AS141" s="8">
        <f t="shared" si="156"/>
        <v>7</v>
      </c>
      <c r="AT141" s="8">
        <f t="shared" si="157"/>
        <v>14</v>
      </c>
      <c r="AU141" s="13">
        <f>IF(OR(UPPER(TRIM(AC141))="AB", AC141=901, AC141="901"), 0, IF(ISNUMBER(MATCH(UPPER(TRIM(AC141)), {"A+","A","B+","B","C","D","P"}, 0)), 2, 0))</f>
        <v>2</v>
      </c>
      <c r="AV141" s="13">
        <f t="shared" si="158"/>
        <v>33</v>
      </c>
      <c r="AW141">
        <f t="shared" si="159"/>
        <v>33</v>
      </c>
      <c r="AX141" s="1">
        <f t="shared" si="160"/>
        <v>66</v>
      </c>
      <c r="AY141" s="13">
        <f t="shared" si="164"/>
        <v>420</v>
      </c>
    </row>
    <row r="142" spans="1:51" s="19" customFormat="1">
      <c r="A142" s="14">
        <v>5068084</v>
      </c>
      <c r="B142" s="14"/>
      <c r="C142" s="34" t="s">
        <v>75</v>
      </c>
      <c r="D142" s="18" t="s">
        <v>47</v>
      </c>
      <c r="E142" s="20">
        <v>1</v>
      </c>
      <c r="F142" s="18" t="s">
        <v>48</v>
      </c>
      <c r="G142" s="18">
        <v>2521615</v>
      </c>
      <c r="H142" s="29" t="s">
        <v>58</v>
      </c>
      <c r="I142" s="22" t="s">
        <v>50</v>
      </c>
      <c r="J142" s="18">
        <v>20</v>
      </c>
      <c r="K142" s="24" t="str">
        <f t="shared" si="161"/>
        <v>P</v>
      </c>
      <c r="L142" s="18">
        <v>24</v>
      </c>
      <c r="M142" s="24" t="str">
        <f t="shared" si="162"/>
        <v>P</v>
      </c>
      <c r="N142" s="20"/>
      <c r="O142" s="20"/>
      <c r="P142" s="20"/>
      <c r="Q142" s="20"/>
      <c r="R142" s="20"/>
      <c r="S142" s="20"/>
      <c r="T142" s="20"/>
      <c r="U142" s="20"/>
      <c r="V142" s="20"/>
      <c r="W142" s="20"/>
      <c r="X142" s="20"/>
      <c r="Y142" s="20"/>
      <c r="Z142" s="20"/>
      <c r="AA142" s="14"/>
      <c r="AB142" s="14" t="str">
        <f t="shared" si="153"/>
        <v>44</v>
      </c>
      <c r="AC142" s="24" t="str">
        <f t="shared" si="154"/>
        <v>A+</v>
      </c>
      <c r="AD142" s="24" t="str">
        <f t="shared" si="165"/>
        <v>420</v>
      </c>
      <c r="AE142" s="18">
        <v>550</v>
      </c>
      <c r="AF142" s="25">
        <f t="shared" si="163"/>
        <v>76.363636363636374</v>
      </c>
      <c r="AG142" s="24" t="str">
        <f t="shared" si="163"/>
        <v>PASS</v>
      </c>
      <c r="AH142" s="26"/>
      <c r="AI142" s="18">
        <v>22</v>
      </c>
      <c r="AJ142" s="25">
        <f t="shared" si="166"/>
        <v>22</v>
      </c>
      <c r="AK142" s="27">
        <f t="shared" si="166"/>
        <v>178</v>
      </c>
      <c r="AL142" s="14">
        <f t="shared" si="166"/>
        <v>8.09</v>
      </c>
      <c r="AM142" s="20"/>
      <c r="AN142" s="20"/>
      <c r="AO142" s="20"/>
      <c r="AP142" s="20"/>
      <c r="AQ142" s="18"/>
      <c r="AR142" s="14" t="str">
        <f t="shared" si="155"/>
        <v>A+</v>
      </c>
      <c r="AS142" s="28">
        <f t="shared" si="156"/>
        <v>9</v>
      </c>
      <c r="AT142" s="28">
        <f t="shared" si="157"/>
        <v>18</v>
      </c>
      <c r="AU142" s="24">
        <f>IF(OR(UPPER(TRIM(AC142))="AB", AC142=901, AC142="901"), 0, IF(ISNUMBER(MATCH(UPPER(TRIM(AC142)), {"A+","A","B+","B","C","D","P"}, 0)), 2, 0))</f>
        <v>2</v>
      </c>
      <c r="AV142" s="24">
        <f t="shared" si="158"/>
        <v>44</v>
      </c>
      <c r="AW142" s="19">
        <f t="shared" si="159"/>
        <v>44</v>
      </c>
      <c r="AX142" s="18">
        <f t="shared" si="160"/>
        <v>88</v>
      </c>
      <c r="AY142" s="24">
        <f t="shared" si="164"/>
        <v>420</v>
      </c>
    </row>
    <row r="143" spans="1:51">
      <c r="A143" s="7">
        <v>5068084</v>
      </c>
      <c r="B143" s="7"/>
      <c r="C143" s="33" t="s">
        <v>75</v>
      </c>
      <c r="D143" s="1" t="s">
        <v>47</v>
      </c>
      <c r="E143" s="3">
        <v>1</v>
      </c>
      <c r="F143" s="1" t="s">
        <v>48</v>
      </c>
      <c r="G143" s="1">
        <v>2531511</v>
      </c>
      <c r="H143" s="2" t="s">
        <v>59</v>
      </c>
      <c r="I143" s="5" t="s">
        <v>50</v>
      </c>
      <c r="J143" s="1">
        <v>18</v>
      </c>
      <c r="K143" s="13" t="str">
        <f t="shared" si="161"/>
        <v>P</v>
      </c>
      <c r="L143" s="1">
        <v>20</v>
      </c>
      <c r="M143" s="13" t="str">
        <f t="shared" si="162"/>
        <v>P</v>
      </c>
      <c r="AB143" s="7" t="str">
        <f t="shared" si="153"/>
        <v>38</v>
      </c>
      <c r="AC143" s="13" t="str">
        <f t="shared" si="154"/>
        <v>A</v>
      </c>
      <c r="AD143" s="13" t="str">
        <f t="shared" si="165"/>
        <v>420</v>
      </c>
      <c r="AE143" s="1">
        <v>550</v>
      </c>
      <c r="AF143" s="15">
        <f t="shared" si="163"/>
        <v>76.363636363636374</v>
      </c>
      <c r="AG143" s="13" t="str">
        <f t="shared" si="163"/>
        <v>PASS</v>
      </c>
      <c r="AI143" s="1">
        <v>22</v>
      </c>
      <c r="AJ143" s="15">
        <f t="shared" si="166"/>
        <v>22</v>
      </c>
      <c r="AK143" s="16">
        <f t="shared" si="166"/>
        <v>178</v>
      </c>
      <c r="AL143" s="7">
        <f t="shared" si="166"/>
        <v>8.09</v>
      </c>
      <c r="AR143" s="7" t="str">
        <f t="shared" si="155"/>
        <v>A+</v>
      </c>
      <c r="AS143" s="8">
        <f t="shared" si="156"/>
        <v>8</v>
      </c>
      <c r="AT143" s="8">
        <f t="shared" si="157"/>
        <v>16</v>
      </c>
      <c r="AU143" s="13">
        <f>IF(OR(UPPER(TRIM(AC143))="AB", AC143=901, AC143="901"), 0, IF(ISNUMBER(MATCH(UPPER(TRIM(AC143)), {"A+","A","B+","B","C","D","P"}, 0)), 2, 0))</f>
        <v>2</v>
      </c>
      <c r="AV143" s="13">
        <f t="shared" si="158"/>
        <v>38</v>
      </c>
      <c r="AW143">
        <f t="shared" si="159"/>
        <v>38</v>
      </c>
      <c r="AX143" s="1">
        <f t="shared" si="160"/>
        <v>76</v>
      </c>
      <c r="AY143" s="13">
        <f t="shared" si="164"/>
        <v>420</v>
      </c>
    </row>
    <row r="144" spans="1:51">
      <c r="A144" s="7">
        <v>5068084</v>
      </c>
      <c r="B144" s="7"/>
      <c r="C144" s="33" t="s">
        <v>75</v>
      </c>
      <c r="D144" s="1" t="s">
        <v>47</v>
      </c>
      <c r="E144" s="3">
        <v>1</v>
      </c>
      <c r="F144" s="1" t="s">
        <v>48</v>
      </c>
      <c r="G144" s="1">
        <v>2541515</v>
      </c>
      <c r="H144" s="2" t="s">
        <v>60</v>
      </c>
      <c r="I144" s="5" t="s">
        <v>50</v>
      </c>
      <c r="J144" s="1">
        <v>18</v>
      </c>
      <c r="K144" s="13" t="str">
        <f t="shared" si="161"/>
        <v>P</v>
      </c>
      <c r="L144" s="6">
        <v>15</v>
      </c>
      <c r="M144" s="13" t="str">
        <f t="shared" si="162"/>
        <v>P</v>
      </c>
      <c r="AB144" s="7" t="str">
        <f t="shared" si="153"/>
        <v>33</v>
      </c>
      <c r="AC144" s="13" t="str">
        <f t="shared" si="154"/>
        <v>B+</v>
      </c>
      <c r="AD144" s="13" t="str">
        <f t="shared" si="165"/>
        <v>420</v>
      </c>
      <c r="AE144" s="1">
        <v>550</v>
      </c>
      <c r="AF144" s="15">
        <f t="shared" si="163"/>
        <v>76.363636363636374</v>
      </c>
      <c r="AG144" s="13" t="str">
        <f t="shared" si="163"/>
        <v>PASS</v>
      </c>
      <c r="AI144" s="1">
        <v>22</v>
      </c>
      <c r="AJ144" s="15">
        <f t="shared" si="166"/>
        <v>22</v>
      </c>
      <c r="AK144" s="16">
        <f t="shared" si="166"/>
        <v>178</v>
      </c>
      <c r="AL144" s="7">
        <f t="shared" si="166"/>
        <v>8.09</v>
      </c>
      <c r="AR144" s="7" t="str">
        <f t="shared" si="155"/>
        <v>A+</v>
      </c>
      <c r="AS144" s="8">
        <f t="shared" si="156"/>
        <v>7</v>
      </c>
      <c r="AT144" s="8">
        <f t="shared" si="157"/>
        <v>14</v>
      </c>
      <c r="AU144" s="13">
        <f>IF(OR(UPPER(TRIM(AC144))="AB", AC144=901, AC144="901"), 0, IF(ISNUMBER(MATCH(UPPER(TRIM(AC144)), {"A+","A","B+","B","C","D","P"}, 0)), 2, 0))</f>
        <v>2</v>
      </c>
      <c r="AV144" s="13">
        <f t="shared" si="158"/>
        <v>33</v>
      </c>
      <c r="AW144">
        <f t="shared" si="159"/>
        <v>33</v>
      </c>
      <c r="AX144" s="1">
        <f t="shared" si="160"/>
        <v>66</v>
      </c>
      <c r="AY144" s="13">
        <f t="shared" si="164"/>
        <v>420</v>
      </c>
    </row>
    <row r="146" spans="1:51" s="19" customFormat="1">
      <c r="A146" s="14">
        <v>5108188</v>
      </c>
      <c r="B146" s="14"/>
      <c r="C146" s="34" t="s">
        <v>76</v>
      </c>
      <c r="D146" s="18" t="s">
        <v>47</v>
      </c>
      <c r="E146" s="20">
        <v>1</v>
      </c>
      <c r="F146" s="18" t="s">
        <v>48</v>
      </c>
      <c r="G146" s="18">
        <v>1011312</v>
      </c>
      <c r="H146" s="21" t="s">
        <v>49</v>
      </c>
      <c r="I146" s="22" t="s">
        <v>50</v>
      </c>
      <c r="J146" s="23">
        <v>18</v>
      </c>
      <c r="K146" s="24" t="str">
        <f>IF(OR(UPPER(TRIM(J146))="AB",J146=901,J146="901"),"F",IF(J146&gt;=8,"P","F"))</f>
        <v>P</v>
      </c>
      <c r="L146" s="18">
        <v>25</v>
      </c>
      <c r="M146" s="24" t="str">
        <f>IF(OR(UPPER(TRIM(L146))="AB",L146=901,L146="901"),"F",IF(L146&gt;=8,"P","F"))</f>
        <v>P</v>
      </c>
      <c r="N146" s="24"/>
      <c r="O146" s="24"/>
      <c r="P146" s="24"/>
      <c r="Q146" s="24"/>
      <c r="R146" s="24"/>
      <c r="S146" s="24"/>
      <c r="T146" s="24"/>
      <c r="U146" s="24"/>
      <c r="V146" s="24"/>
      <c r="W146" s="24"/>
      <c r="X146" s="24"/>
      <c r="Y146" s="24"/>
      <c r="Z146" s="24"/>
      <c r="AA146" s="14"/>
      <c r="AB146" s="14" t="str">
        <f t="shared" ref="AB146:AB156" si="167">AV146 &amp; IF(AA146&lt;&gt;"", " @ " &amp; AA146, "")</f>
        <v>43</v>
      </c>
      <c r="AC146" s="24" t="str">
        <f t="shared" ref="AC146:AC156" si="168">IF(AX146&gt;=90,"O",
IF(AX146&gt;=80,"A+",
IF(AX146&gt;=70,"A",
IF(AX146&gt;=60,"B+",
IF(AX146&gt;=55,"B",
IF(AX146&gt;=50,"C",
IF(AX146&gt;=40,"D","F")))))))</f>
        <v>A+</v>
      </c>
      <c r="AD146" s="24" t="str">
        <f>SUM(AV146:AV156) &amp; IF(SUM(AA146:AA156)&gt;0, " @ " &amp; SUM(AA146:AA156), "")</f>
        <v>355</v>
      </c>
      <c r="AE146" s="18">
        <v>550</v>
      </c>
      <c r="AF146" s="25">
        <f>AY146/AE146*100</f>
        <v>64.545454545454547</v>
      </c>
      <c r="AG146" s="24" t="str" cm="1">
        <f t="array" ref="AG146">IF(
  SUMPRODUCT(--(IFERROR(VALUE(J146:J156),9999)&lt;8))
  + SUMPRODUCT(--(IFERROR(VALUE(L146:L156),9999)&lt;12))
  + COUNTIF(J146:J156,"AB") + COUNTIF(L146:L156,"AB")
  + COUNTIF(J146:J156,901) + COUNTIF(L146:L156,901) &gt; 0,
  "ATKT",
  "PASS"
)</f>
        <v>PASS</v>
      </c>
      <c r="AH146" s="26"/>
      <c r="AI146" s="18">
        <v>22</v>
      </c>
      <c r="AJ146" s="25">
        <f>SUM(AU146:AU156)</f>
        <v>22</v>
      </c>
      <c r="AK146" s="27">
        <f>SUM(AT146:AT156)</f>
        <v>154</v>
      </c>
      <c r="AL146" s="14">
        <f>IF(UPPER(TRIM(AG146))="ATKT",0,ROUND( (SUM(AT146:AT156) /22), 2))</f>
        <v>7</v>
      </c>
      <c r="AM146" s="20"/>
      <c r="AN146" s="20"/>
      <c r="AO146" s="20"/>
      <c r="AP146" s="20"/>
      <c r="AQ146" s="18"/>
      <c r="AR146" s="14" t="str">
        <f t="shared" ref="AR146:AR156" si="169">IF(AL146&gt;=9,"O", IF(AL146&gt;=8,"A+", IF(AL146&gt;=7,"A", IF(AL146&gt;=6,"B+", IF(AL146&gt;=5.5,"B", IF(AL146&gt;=5,"C", IF(AL146&gt;=4,"D","F")))))))</f>
        <v>A</v>
      </c>
      <c r="AS146" s="28">
        <f t="shared" ref="AS146:AS156" si="170">IF(AX146&gt;=90,10,
IF(AX146&gt;=80,9,
IF(AX146&gt;=70,8,
IF(AX146&gt;=60,7,
IF(AX146&gt;=55,6,
IF(AX146&gt;=50,5,
IF(AX146&gt;=40,4,0)))))))</f>
        <v>9</v>
      </c>
      <c r="AT146" s="28">
        <f t="shared" ref="AT146:AT156" si="171">AS146*I146</f>
        <v>18</v>
      </c>
      <c r="AU146" s="24">
        <f>IF(OR(UPPER(TRIM(AC146))="AB", AC146=901, AC146="901"), 0, IF(ISNUMBER(MATCH(UPPER(TRIM(AC146)), {"A+","A","B+","B","C","D","P"}, 0)), 2, 0))</f>
        <v>2</v>
      </c>
      <c r="AV146" s="24">
        <f t="shared" ref="AV146:AV156" si="172">SUM(
IF(OR(UPPER(TRIM(J146))="AB",J146=901,J146="901"),0,IFERROR(VALUE(J146),0)),
IF(OR(UPPER(TRIM(L146))="AB",L146=901,L146="901"),0,IFERROR(VALUE(L146),0)),
IF(OR(UPPER(TRIM(N146))="AB",N146=901,N146="901"),0,IFERROR(VALUE(N146),0))
)</f>
        <v>43</v>
      </c>
      <c r="AW146" s="19">
        <f t="shared" ref="AW146:AW156" si="173">AA146+AV146</f>
        <v>43</v>
      </c>
      <c r="AX146" s="18">
        <f t="shared" ref="AX146:AX156" si="174">(AW146 / 50) * 100</f>
        <v>86</v>
      </c>
      <c r="AY146" s="24">
        <f>SUM(AW146:AW156)</f>
        <v>355</v>
      </c>
    </row>
    <row r="147" spans="1:51">
      <c r="A147" s="7">
        <v>5108188</v>
      </c>
      <c r="B147" s="7"/>
      <c r="C147" s="33" t="s">
        <v>76</v>
      </c>
      <c r="D147" s="1" t="s">
        <v>47</v>
      </c>
      <c r="E147" s="3">
        <v>1</v>
      </c>
      <c r="F147" s="1" t="s">
        <v>48</v>
      </c>
      <c r="G147" s="1">
        <v>1171312</v>
      </c>
      <c r="H147" s="2" t="s">
        <v>51</v>
      </c>
      <c r="I147" s="5" t="s">
        <v>50</v>
      </c>
      <c r="J147" s="1">
        <v>18</v>
      </c>
      <c r="K147" s="13" t="str">
        <f t="shared" ref="K147:K156" si="175">IF(OR(UPPER(TRIM(J147))="AB",J147=901,J147="901"),"F",IF(J147&gt;=8,"P","F"))</f>
        <v>P</v>
      </c>
      <c r="L147" s="1">
        <v>12</v>
      </c>
      <c r="M147" s="13" t="str">
        <f t="shared" ref="M147:M156" si="176">IF(OR(UPPER(TRIM(L147))="AB",L147=901,L147="901"),"F",IF(L147&gt;=8,"P","F"))</f>
        <v>P</v>
      </c>
      <c r="AB147" s="7" t="str">
        <f t="shared" si="167"/>
        <v>30</v>
      </c>
      <c r="AC147" s="13" t="str">
        <f t="shared" si="168"/>
        <v>B+</v>
      </c>
      <c r="AD147" s="13" t="str">
        <f>AD146</f>
        <v>355</v>
      </c>
      <c r="AE147" s="1">
        <v>550</v>
      </c>
      <c r="AF147" s="15">
        <f t="shared" ref="AF147:AG156" si="177">AF146</f>
        <v>64.545454545454547</v>
      </c>
      <c r="AG147" s="13" t="str">
        <f t="shared" si="177"/>
        <v>PASS</v>
      </c>
      <c r="AI147" s="1">
        <v>22</v>
      </c>
      <c r="AJ147" s="15">
        <f>AJ146</f>
        <v>22</v>
      </c>
      <c r="AK147" s="16">
        <f>AK146</f>
        <v>154</v>
      </c>
      <c r="AL147" s="7">
        <f>AL146</f>
        <v>7</v>
      </c>
      <c r="AR147" s="7" t="str">
        <f t="shared" si="169"/>
        <v>A</v>
      </c>
      <c r="AS147" s="8">
        <f t="shared" si="170"/>
        <v>7</v>
      </c>
      <c r="AT147" s="8">
        <f t="shared" si="171"/>
        <v>14</v>
      </c>
      <c r="AU147" s="13">
        <f>IF(OR(UPPER(TRIM(AC147))="AB", AC147=901, AC147="901"), 0, IF(ISNUMBER(MATCH(UPPER(TRIM(AC147)), {"A+","A","B+","B","C","D","P"}, 0)), 2, 0))</f>
        <v>2</v>
      </c>
      <c r="AV147" s="13">
        <f t="shared" si="172"/>
        <v>30</v>
      </c>
      <c r="AW147">
        <f t="shared" si="173"/>
        <v>30</v>
      </c>
      <c r="AX147" s="1">
        <f t="shared" si="174"/>
        <v>60</v>
      </c>
      <c r="AY147" s="13">
        <f t="shared" ref="AY147:AY156" si="178">AY146</f>
        <v>355</v>
      </c>
    </row>
    <row r="148" spans="1:51">
      <c r="A148" s="7">
        <v>5108188</v>
      </c>
      <c r="B148" s="7"/>
      <c r="C148" s="33" t="s">
        <v>76</v>
      </c>
      <c r="D148" s="1" t="s">
        <v>47</v>
      </c>
      <c r="E148" s="3">
        <v>1</v>
      </c>
      <c r="F148" s="1" t="s">
        <v>48</v>
      </c>
      <c r="G148" s="1">
        <v>1461111</v>
      </c>
      <c r="H148" s="2" t="s">
        <v>52</v>
      </c>
      <c r="I148" s="5" t="s">
        <v>50</v>
      </c>
      <c r="J148" s="1">
        <v>16</v>
      </c>
      <c r="K148" s="13" t="str">
        <f t="shared" si="175"/>
        <v>P</v>
      </c>
      <c r="L148" s="1">
        <v>13</v>
      </c>
      <c r="M148" s="13" t="str">
        <f t="shared" si="176"/>
        <v>P</v>
      </c>
      <c r="AB148" s="7" t="str">
        <f t="shared" si="167"/>
        <v>29</v>
      </c>
      <c r="AC148" s="13" t="str">
        <f t="shared" si="168"/>
        <v>B</v>
      </c>
      <c r="AD148" s="13" t="str">
        <f t="shared" ref="AD148:AD156" si="179">AD147</f>
        <v>355</v>
      </c>
      <c r="AE148" s="1">
        <v>550</v>
      </c>
      <c r="AF148" s="15">
        <f t="shared" si="177"/>
        <v>64.545454545454547</v>
      </c>
      <c r="AG148" s="13" t="str">
        <f t="shared" si="177"/>
        <v>PASS</v>
      </c>
      <c r="AI148" s="1">
        <v>22</v>
      </c>
      <c r="AJ148" s="15">
        <f t="shared" ref="AJ148:AL156" si="180">AJ147</f>
        <v>22</v>
      </c>
      <c r="AK148" s="16">
        <f t="shared" si="180"/>
        <v>154</v>
      </c>
      <c r="AL148" s="7">
        <f t="shared" si="180"/>
        <v>7</v>
      </c>
      <c r="AR148" s="7" t="str">
        <f t="shared" si="169"/>
        <v>A</v>
      </c>
      <c r="AS148" s="8">
        <f t="shared" si="170"/>
        <v>6</v>
      </c>
      <c r="AT148" s="8">
        <f t="shared" si="171"/>
        <v>12</v>
      </c>
      <c r="AU148" s="13">
        <f>IF(OR(UPPER(TRIM(AC148))="AB", AC148=901, AC148="901"), 0, IF(ISNUMBER(MATCH(UPPER(TRIM(AC148)), {"A+","A","B+","B","C","D","P"}, 0)), 2, 0))</f>
        <v>2</v>
      </c>
      <c r="AV148" s="13">
        <f t="shared" si="172"/>
        <v>29</v>
      </c>
      <c r="AW148">
        <f t="shared" si="173"/>
        <v>29</v>
      </c>
      <c r="AX148" s="1">
        <f t="shared" si="174"/>
        <v>57.999999999999993</v>
      </c>
      <c r="AY148" s="13">
        <f t="shared" si="178"/>
        <v>355</v>
      </c>
    </row>
    <row r="149" spans="1:51">
      <c r="A149" s="7">
        <v>5108188</v>
      </c>
      <c r="B149" s="7"/>
      <c r="C149" s="33" t="s">
        <v>76</v>
      </c>
      <c r="D149" s="1" t="s">
        <v>47</v>
      </c>
      <c r="E149" s="3">
        <v>1</v>
      </c>
      <c r="F149" s="1" t="s">
        <v>48</v>
      </c>
      <c r="G149" s="1">
        <v>1461112</v>
      </c>
      <c r="H149" s="2" t="s">
        <v>53</v>
      </c>
      <c r="I149" s="5" t="s">
        <v>50</v>
      </c>
      <c r="J149" s="1">
        <v>16</v>
      </c>
      <c r="K149" s="13" t="str">
        <f t="shared" si="175"/>
        <v>P</v>
      </c>
      <c r="L149" s="1">
        <v>14</v>
      </c>
      <c r="M149" s="13" t="str">
        <f t="shared" si="176"/>
        <v>P</v>
      </c>
      <c r="AB149" s="7" t="str">
        <f t="shared" si="167"/>
        <v>30</v>
      </c>
      <c r="AC149" s="13" t="str">
        <f t="shared" si="168"/>
        <v>B+</v>
      </c>
      <c r="AD149" s="13" t="str">
        <f t="shared" si="179"/>
        <v>355</v>
      </c>
      <c r="AE149" s="1">
        <v>550</v>
      </c>
      <c r="AF149" s="15">
        <f t="shared" si="177"/>
        <v>64.545454545454547</v>
      </c>
      <c r="AG149" s="13" t="str">
        <f t="shared" si="177"/>
        <v>PASS</v>
      </c>
      <c r="AI149" s="1">
        <v>22</v>
      </c>
      <c r="AJ149" s="15">
        <f t="shared" si="180"/>
        <v>22</v>
      </c>
      <c r="AK149" s="16">
        <f t="shared" si="180"/>
        <v>154</v>
      </c>
      <c r="AL149" s="7">
        <f t="shared" si="180"/>
        <v>7</v>
      </c>
      <c r="AR149" s="7" t="str">
        <f t="shared" si="169"/>
        <v>A</v>
      </c>
      <c r="AS149" s="8">
        <f t="shared" si="170"/>
        <v>7</v>
      </c>
      <c r="AT149" s="8">
        <f t="shared" si="171"/>
        <v>14</v>
      </c>
      <c r="AU149" s="13">
        <f>IF(OR(UPPER(TRIM(AC149))="AB", AC149=901, AC149="901"), 0, IF(ISNUMBER(MATCH(UPPER(TRIM(AC149)), {"A+","A","B+","B","C","D","P"}, 0)), 2, 0))</f>
        <v>2</v>
      </c>
      <c r="AV149" s="13">
        <f t="shared" si="172"/>
        <v>30</v>
      </c>
      <c r="AW149">
        <f t="shared" si="173"/>
        <v>30</v>
      </c>
      <c r="AX149" s="1">
        <f t="shared" si="174"/>
        <v>60</v>
      </c>
      <c r="AY149" s="13">
        <f t="shared" si="178"/>
        <v>355</v>
      </c>
    </row>
    <row r="150" spans="1:51">
      <c r="A150" s="7">
        <v>5108188</v>
      </c>
      <c r="B150" s="7"/>
      <c r="C150" s="33" t="s">
        <v>76</v>
      </c>
      <c r="D150" s="1" t="s">
        <v>47</v>
      </c>
      <c r="E150" s="3">
        <v>1</v>
      </c>
      <c r="F150" s="1" t="s">
        <v>48</v>
      </c>
      <c r="G150" s="1">
        <v>1461113</v>
      </c>
      <c r="H150" s="2" t="s">
        <v>54</v>
      </c>
      <c r="I150" s="5" t="s">
        <v>50</v>
      </c>
      <c r="J150" s="1">
        <v>18</v>
      </c>
      <c r="K150" s="13" t="str">
        <f t="shared" si="175"/>
        <v>P</v>
      </c>
      <c r="L150" s="1">
        <v>23</v>
      </c>
      <c r="M150" s="13" t="str">
        <f t="shared" si="176"/>
        <v>P</v>
      </c>
      <c r="AB150" s="7" t="str">
        <f t="shared" si="167"/>
        <v>41</v>
      </c>
      <c r="AC150" s="13" t="str">
        <f t="shared" si="168"/>
        <v>A+</v>
      </c>
      <c r="AD150" s="13" t="str">
        <f t="shared" si="179"/>
        <v>355</v>
      </c>
      <c r="AE150" s="1">
        <v>550</v>
      </c>
      <c r="AF150" s="15">
        <f t="shared" si="177"/>
        <v>64.545454545454547</v>
      </c>
      <c r="AG150" s="13" t="str">
        <f t="shared" si="177"/>
        <v>PASS</v>
      </c>
      <c r="AI150" s="1">
        <v>22</v>
      </c>
      <c r="AJ150" s="15">
        <f t="shared" si="180"/>
        <v>22</v>
      </c>
      <c r="AK150" s="16">
        <f t="shared" si="180"/>
        <v>154</v>
      </c>
      <c r="AL150" s="7">
        <f t="shared" si="180"/>
        <v>7</v>
      </c>
      <c r="AR150" s="7" t="str">
        <f t="shared" si="169"/>
        <v>A</v>
      </c>
      <c r="AS150" s="8">
        <f t="shared" si="170"/>
        <v>9</v>
      </c>
      <c r="AT150" s="8">
        <f t="shared" si="171"/>
        <v>18</v>
      </c>
      <c r="AU150" s="13">
        <f>IF(OR(UPPER(TRIM(AC150))="AB", AC150=901, AC150="901"), 0, IF(ISNUMBER(MATCH(UPPER(TRIM(AC150)), {"A+","A","B+","B","C","D","P"}, 0)), 2, 0))</f>
        <v>2</v>
      </c>
      <c r="AV150" s="13">
        <f t="shared" si="172"/>
        <v>41</v>
      </c>
      <c r="AW150">
        <f t="shared" si="173"/>
        <v>41</v>
      </c>
      <c r="AX150" s="1">
        <f t="shared" si="174"/>
        <v>82</v>
      </c>
      <c r="AY150" s="13">
        <f t="shared" si="178"/>
        <v>355</v>
      </c>
    </row>
    <row r="151" spans="1:51">
      <c r="A151" s="7">
        <v>5108188</v>
      </c>
      <c r="B151" s="7"/>
      <c r="C151" s="33" t="s">
        <v>76</v>
      </c>
      <c r="D151" s="1" t="s">
        <v>47</v>
      </c>
      <c r="E151" s="3">
        <v>1</v>
      </c>
      <c r="F151" s="1" t="s">
        <v>48</v>
      </c>
      <c r="G151" s="1">
        <v>1461411</v>
      </c>
      <c r="H151" s="2" t="s">
        <v>55</v>
      </c>
      <c r="I151" s="5" t="s">
        <v>50</v>
      </c>
      <c r="J151" s="1">
        <v>18</v>
      </c>
      <c r="K151" s="13" t="str">
        <f t="shared" si="175"/>
        <v>P</v>
      </c>
      <c r="L151" s="1">
        <v>22</v>
      </c>
      <c r="M151" s="13" t="str">
        <f t="shared" si="176"/>
        <v>P</v>
      </c>
      <c r="AB151" s="7" t="str">
        <f t="shared" si="167"/>
        <v>40</v>
      </c>
      <c r="AC151" s="13" t="str">
        <f t="shared" si="168"/>
        <v>A+</v>
      </c>
      <c r="AD151" s="13" t="str">
        <f t="shared" si="179"/>
        <v>355</v>
      </c>
      <c r="AE151" s="1">
        <v>550</v>
      </c>
      <c r="AF151" s="15">
        <f t="shared" si="177"/>
        <v>64.545454545454547</v>
      </c>
      <c r="AG151" s="13" t="str">
        <f t="shared" si="177"/>
        <v>PASS</v>
      </c>
      <c r="AI151" s="1">
        <v>22</v>
      </c>
      <c r="AJ151" s="15">
        <f t="shared" si="180"/>
        <v>22</v>
      </c>
      <c r="AK151" s="16">
        <f t="shared" si="180"/>
        <v>154</v>
      </c>
      <c r="AL151" s="7">
        <f t="shared" si="180"/>
        <v>7</v>
      </c>
      <c r="AR151" s="7" t="str">
        <f t="shared" si="169"/>
        <v>A</v>
      </c>
      <c r="AS151" s="8">
        <f t="shared" si="170"/>
        <v>9</v>
      </c>
      <c r="AT151" s="8">
        <f t="shared" si="171"/>
        <v>18</v>
      </c>
      <c r="AU151" s="13">
        <f>IF(OR(UPPER(TRIM(AC151))="AB", AC151=901, AC151="901"), 0, IF(ISNUMBER(MATCH(UPPER(TRIM(AC151)), {"A+","A","B+","B","C","D","P"}, 0)), 2, 0))</f>
        <v>2</v>
      </c>
      <c r="AV151" s="13">
        <f t="shared" si="172"/>
        <v>40</v>
      </c>
      <c r="AW151">
        <f t="shared" si="173"/>
        <v>40</v>
      </c>
      <c r="AX151" s="1">
        <f t="shared" si="174"/>
        <v>80</v>
      </c>
      <c r="AY151" s="13">
        <f t="shared" si="178"/>
        <v>355</v>
      </c>
    </row>
    <row r="152" spans="1:51">
      <c r="A152" s="7">
        <v>5108188</v>
      </c>
      <c r="B152" s="7"/>
      <c r="C152" s="33" t="s">
        <v>76</v>
      </c>
      <c r="D152" s="1" t="s">
        <v>47</v>
      </c>
      <c r="E152" s="3">
        <v>1</v>
      </c>
      <c r="F152" s="1" t="s">
        <v>48</v>
      </c>
      <c r="G152" s="1">
        <v>1461412</v>
      </c>
      <c r="H152" s="2" t="s">
        <v>56</v>
      </c>
      <c r="I152" s="5" t="s">
        <v>50</v>
      </c>
      <c r="J152" s="1">
        <v>16</v>
      </c>
      <c r="K152" s="13" t="str">
        <f t="shared" si="175"/>
        <v>P</v>
      </c>
      <c r="L152" s="1">
        <v>12</v>
      </c>
      <c r="M152" s="13" t="str">
        <f t="shared" si="176"/>
        <v>P</v>
      </c>
      <c r="AB152" s="7" t="str">
        <f t="shared" si="167"/>
        <v>28</v>
      </c>
      <c r="AC152" s="13" t="str">
        <f t="shared" si="168"/>
        <v>B</v>
      </c>
      <c r="AD152" s="13" t="str">
        <f t="shared" si="179"/>
        <v>355</v>
      </c>
      <c r="AE152" s="1">
        <v>550</v>
      </c>
      <c r="AF152" s="15">
        <f t="shared" si="177"/>
        <v>64.545454545454547</v>
      </c>
      <c r="AG152" s="13" t="str">
        <f t="shared" si="177"/>
        <v>PASS</v>
      </c>
      <c r="AI152" s="1">
        <v>22</v>
      </c>
      <c r="AJ152" s="15">
        <f t="shared" si="180"/>
        <v>22</v>
      </c>
      <c r="AK152" s="16">
        <f t="shared" si="180"/>
        <v>154</v>
      </c>
      <c r="AL152" s="7">
        <f t="shared" si="180"/>
        <v>7</v>
      </c>
      <c r="AR152" s="7" t="str">
        <f t="shared" si="169"/>
        <v>A</v>
      </c>
      <c r="AS152" s="8">
        <f t="shared" si="170"/>
        <v>6</v>
      </c>
      <c r="AT152" s="8">
        <f t="shared" si="171"/>
        <v>12</v>
      </c>
      <c r="AU152" s="13">
        <f>IF(OR(UPPER(TRIM(AC152))="AB", AC152=901, AC152="901"), 0, IF(ISNUMBER(MATCH(UPPER(TRIM(AC152)), {"A+","A","B+","B","C","D","P"}, 0)), 2, 0))</f>
        <v>2</v>
      </c>
      <c r="AV152" s="13">
        <f t="shared" si="172"/>
        <v>28</v>
      </c>
      <c r="AW152">
        <f t="shared" si="173"/>
        <v>28</v>
      </c>
      <c r="AX152" s="1">
        <f t="shared" si="174"/>
        <v>56.000000000000007</v>
      </c>
      <c r="AY152" s="13">
        <f t="shared" si="178"/>
        <v>355</v>
      </c>
    </row>
    <row r="153" spans="1:51">
      <c r="A153" s="7">
        <v>5108188</v>
      </c>
      <c r="B153" s="7"/>
      <c r="C153" s="33" t="s">
        <v>76</v>
      </c>
      <c r="D153" s="1" t="s">
        <v>47</v>
      </c>
      <c r="E153" s="3">
        <v>1</v>
      </c>
      <c r="F153" s="1" t="s">
        <v>48</v>
      </c>
      <c r="G153" s="1">
        <v>2511515</v>
      </c>
      <c r="H153" s="2" t="s">
        <v>57</v>
      </c>
      <c r="I153" s="5" t="s">
        <v>50</v>
      </c>
      <c r="J153" s="1">
        <v>16</v>
      </c>
      <c r="K153" s="13" t="str">
        <f t="shared" si="175"/>
        <v>P</v>
      </c>
      <c r="L153" s="1">
        <v>13</v>
      </c>
      <c r="M153" s="13" t="str">
        <f t="shared" si="176"/>
        <v>P</v>
      </c>
      <c r="AB153" s="7" t="str">
        <f t="shared" si="167"/>
        <v>29</v>
      </c>
      <c r="AC153" s="13" t="str">
        <f t="shared" si="168"/>
        <v>B</v>
      </c>
      <c r="AD153" s="13" t="str">
        <f t="shared" si="179"/>
        <v>355</v>
      </c>
      <c r="AE153" s="1">
        <v>550</v>
      </c>
      <c r="AF153" s="15">
        <f t="shared" si="177"/>
        <v>64.545454545454547</v>
      </c>
      <c r="AG153" s="13" t="str">
        <f t="shared" si="177"/>
        <v>PASS</v>
      </c>
      <c r="AI153" s="1">
        <v>22</v>
      </c>
      <c r="AJ153" s="15">
        <f t="shared" si="180"/>
        <v>22</v>
      </c>
      <c r="AK153" s="16">
        <f t="shared" si="180"/>
        <v>154</v>
      </c>
      <c r="AL153" s="7">
        <f t="shared" si="180"/>
        <v>7</v>
      </c>
      <c r="AR153" s="7" t="str">
        <f t="shared" si="169"/>
        <v>A</v>
      </c>
      <c r="AS153" s="8">
        <f t="shared" si="170"/>
        <v>6</v>
      </c>
      <c r="AT153" s="8">
        <f t="shared" si="171"/>
        <v>12</v>
      </c>
      <c r="AU153" s="13">
        <f>IF(OR(UPPER(TRIM(AC153))="AB", AC153=901, AC153="901"), 0, IF(ISNUMBER(MATCH(UPPER(TRIM(AC153)), {"A+","A","B+","B","C","D","P"}, 0)), 2, 0))</f>
        <v>2</v>
      </c>
      <c r="AV153" s="13">
        <f t="shared" si="172"/>
        <v>29</v>
      </c>
      <c r="AW153">
        <f t="shared" si="173"/>
        <v>29</v>
      </c>
      <c r="AX153" s="1">
        <f t="shared" si="174"/>
        <v>57.999999999999993</v>
      </c>
      <c r="AY153" s="13">
        <f t="shared" si="178"/>
        <v>355</v>
      </c>
    </row>
    <row r="154" spans="1:51">
      <c r="A154" s="7">
        <v>5108188</v>
      </c>
      <c r="B154" s="7"/>
      <c r="C154" s="33" t="s">
        <v>76</v>
      </c>
      <c r="D154" s="1" t="s">
        <v>47</v>
      </c>
      <c r="E154" s="3">
        <v>1</v>
      </c>
      <c r="F154" s="1" t="s">
        <v>48</v>
      </c>
      <c r="G154" s="1">
        <v>2521615</v>
      </c>
      <c r="H154" s="4" t="s">
        <v>58</v>
      </c>
      <c r="I154" s="5" t="s">
        <v>50</v>
      </c>
      <c r="J154" s="1">
        <v>15</v>
      </c>
      <c r="K154" s="13" t="str">
        <f t="shared" si="175"/>
        <v>P</v>
      </c>
      <c r="L154" s="1">
        <v>12</v>
      </c>
      <c r="M154" s="13" t="str">
        <f t="shared" si="176"/>
        <v>P</v>
      </c>
      <c r="AB154" s="7" t="str">
        <f t="shared" si="167"/>
        <v>27</v>
      </c>
      <c r="AC154" s="13" t="str">
        <f t="shared" si="168"/>
        <v>C</v>
      </c>
      <c r="AD154" s="13" t="str">
        <f t="shared" si="179"/>
        <v>355</v>
      </c>
      <c r="AE154" s="1">
        <v>550</v>
      </c>
      <c r="AF154" s="15">
        <f t="shared" si="177"/>
        <v>64.545454545454547</v>
      </c>
      <c r="AG154" s="13" t="str">
        <f t="shared" si="177"/>
        <v>PASS</v>
      </c>
      <c r="AI154" s="1">
        <v>22</v>
      </c>
      <c r="AJ154" s="15">
        <f t="shared" si="180"/>
        <v>22</v>
      </c>
      <c r="AK154" s="16">
        <f t="shared" si="180"/>
        <v>154</v>
      </c>
      <c r="AL154" s="7">
        <f t="shared" si="180"/>
        <v>7</v>
      </c>
      <c r="AR154" s="7" t="str">
        <f t="shared" si="169"/>
        <v>A</v>
      </c>
      <c r="AS154" s="8">
        <f t="shared" si="170"/>
        <v>5</v>
      </c>
      <c r="AT154" s="8">
        <f t="shared" si="171"/>
        <v>10</v>
      </c>
      <c r="AU154" s="13">
        <f>IF(OR(UPPER(TRIM(AC154))="AB", AC154=901, AC154="901"), 0, IF(ISNUMBER(MATCH(UPPER(TRIM(AC154)), {"A+","A","B+","B","C","D","P"}, 0)), 2, 0))</f>
        <v>2</v>
      </c>
      <c r="AV154" s="13">
        <f t="shared" si="172"/>
        <v>27</v>
      </c>
      <c r="AW154">
        <f t="shared" si="173"/>
        <v>27</v>
      </c>
      <c r="AX154" s="1">
        <f t="shared" si="174"/>
        <v>54</v>
      </c>
      <c r="AY154" s="13">
        <f t="shared" si="178"/>
        <v>355</v>
      </c>
    </row>
    <row r="155" spans="1:51">
      <c r="A155" s="7">
        <v>5108188</v>
      </c>
      <c r="B155" s="7"/>
      <c r="C155" s="33" t="s">
        <v>76</v>
      </c>
      <c r="D155" s="1" t="s">
        <v>47</v>
      </c>
      <c r="E155" s="3">
        <v>1</v>
      </c>
      <c r="F155" s="1" t="s">
        <v>48</v>
      </c>
      <c r="G155" s="1">
        <v>2531511</v>
      </c>
      <c r="H155" s="2" t="s">
        <v>59</v>
      </c>
      <c r="I155" s="5" t="s">
        <v>50</v>
      </c>
      <c r="J155" s="1">
        <v>16</v>
      </c>
      <c r="K155" s="13" t="str">
        <f t="shared" si="175"/>
        <v>P</v>
      </c>
      <c r="L155" s="1">
        <v>12</v>
      </c>
      <c r="M155" s="13" t="str">
        <f t="shared" si="176"/>
        <v>P</v>
      </c>
      <c r="AB155" s="7" t="str">
        <f t="shared" si="167"/>
        <v>28</v>
      </c>
      <c r="AC155" s="13" t="str">
        <f t="shared" si="168"/>
        <v>B</v>
      </c>
      <c r="AD155" s="13" t="str">
        <f t="shared" si="179"/>
        <v>355</v>
      </c>
      <c r="AE155" s="1">
        <v>550</v>
      </c>
      <c r="AF155" s="15">
        <f t="shared" si="177"/>
        <v>64.545454545454547</v>
      </c>
      <c r="AG155" s="13" t="str">
        <f t="shared" si="177"/>
        <v>PASS</v>
      </c>
      <c r="AI155" s="1">
        <v>22</v>
      </c>
      <c r="AJ155" s="15">
        <f t="shared" si="180"/>
        <v>22</v>
      </c>
      <c r="AK155" s="16">
        <f t="shared" si="180"/>
        <v>154</v>
      </c>
      <c r="AL155" s="7">
        <f t="shared" si="180"/>
        <v>7</v>
      </c>
      <c r="AR155" s="7" t="str">
        <f t="shared" si="169"/>
        <v>A</v>
      </c>
      <c r="AS155" s="8">
        <f t="shared" si="170"/>
        <v>6</v>
      </c>
      <c r="AT155" s="8">
        <f t="shared" si="171"/>
        <v>12</v>
      </c>
      <c r="AU155" s="13">
        <f>IF(OR(UPPER(TRIM(AC155))="AB", AC155=901, AC155="901"), 0, IF(ISNUMBER(MATCH(UPPER(TRIM(AC155)), {"A+","A","B+","B","C","D","P"}, 0)), 2, 0))</f>
        <v>2</v>
      </c>
      <c r="AV155" s="13">
        <f t="shared" si="172"/>
        <v>28</v>
      </c>
      <c r="AW155">
        <f t="shared" si="173"/>
        <v>28</v>
      </c>
      <c r="AX155" s="1">
        <f t="shared" si="174"/>
        <v>56.000000000000007</v>
      </c>
      <c r="AY155" s="13">
        <f t="shared" si="178"/>
        <v>355</v>
      </c>
    </row>
    <row r="156" spans="1:51">
      <c r="A156" s="7">
        <v>5108188</v>
      </c>
      <c r="B156" s="7"/>
      <c r="C156" s="33" t="s">
        <v>76</v>
      </c>
      <c r="D156" s="1" t="s">
        <v>47</v>
      </c>
      <c r="E156" s="3">
        <v>1</v>
      </c>
      <c r="F156" s="1" t="s">
        <v>48</v>
      </c>
      <c r="G156" s="1">
        <v>2541515</v>
      </c>
      <c r="H156" s="2" t="s">
        <v>60</v>
      </c>
      <c r="I156" s="5" t="s">
        <v>50</v>
      </c>
      <c r="J156" s="1">
        <v>18</v>
      </c>
      <c r="K156" s="13" t="str">
        <f t="shared" si="175"/>
        <v>P</v>
      </c>
      <c r="L156" s="6">
        <v>12</v>
      </c>
      <c r="M156" s="13" t="str">
        <f t="shared" si="176"/>
        <v>P</v>
      </c>
      <c r="AB156" s="7" t="str">
        <f t="shared" si="167"/>
        <v>30</v>
      </c>
      <c r="AC156" s="13" t="str">
        <f t="shared" si="168"/>
        <v>B+</v>
      </c>
      <c r="AD156" s="13" t="str">
        <f t="shared" si="179"/>
        <v>355</v>
      </c>
      <c r="AE156" s="1">
        <v>550</v>
      </c>
      <c r="AF156" s="15">
        <f t="shared" si="177"/>
        <v>64.545454545454547</v>
      </c>
      <c r="AG156" s="13" t="str">
        <f t="shared" si="177"/>
        <v>PASS</v>
      </c>
      <c r="AI156" s="1">
        <v>22</v>
      </c>
      <c r="AJ156" s="15">
        <f t="shared" si="180"/>
        <v>22</v>
      </c>
      <c r="AK156" s="16">
        <f t="shared" si="180"/>
        <v>154</v>
      </c>
      <c r="AL156" s="7">
        <f t="shared" si="180"/>
        <v>7</v>
      </c>
      <c r="AR156" s="7" t="str">
        <f t="shared" si="169"/>
        <v>A</v>
      </c>
      <c r="AS156" s="8">
        <f t="shared" si="170"/>
        <v>7</v>
      </c>
      <c r="AT156" s="8">
        <f t="shared" si="171"/>
        <v>14</v>
      </c>
      <c r="AU156" s="13">
        <f>IF(OR(UPPER(TRIM(AC156))="AB", AC156=901, AC156="901"), 0, IF(ISNUMBER(MATCH(UPPER(TRIM(AC156)), {"A+","A","B+","B","C","D","P"}, 0)), 2, 0))</f>
        <v>2</v>
      </c>
      <c r="AV156" s="13">
        <f t="shared" si="172"/>
        <v>30</v>
      </c>
      <c r="AW156">
        <f t="shared" si="173"/>
        <v>30</v>
      </c>
      <c r="AX156" s="1">
        <f t="shared" si="174"/>
        <v>60</v>
      </c>
      <c r="AY156" s="13">
        <f t="shared" si="178"/>
        <v>355</v>
      </c>
    </row>
    <row r="158" spans="1:51" s="19" customFormat="1">
      <c r="A158" s="14">
        <v>5077578</v>
      </c>
      <c r="B158" s="14"/>
      <c r="C158" s="34" t="s">
        <v>77</v>
      </c>
      <c r="D158" s="18" t="s">
        <v>47</v>
      </c>
      <c r="E158" s="20">
        <v>1</v>
      </c>
      <c r="F158" s="18" t="s">
        <v>48</v>
      </c>
      <c r="G158" s="18">
        <v>1011312</v>
      </c>
      <c r="H158" s="21" t="s">
        <v>49</v>
      </c>
      <c r="I158" s="22" t="s">
        <v>50</v>
      </c>
      <c r="J158" s="23">
        <v>18</v>
      </c>
      <c r="K158" s="24" t="str">
        <f>IF(OR(UPPER(TRIM(J158))="AB",J158=901,J158="901"),"F",IF(J158&gt;=8,"P","F"))</f>
        <v>P</v>
      </c>
      <c r="L158" s="18">
        <v>24</v>
      </c>
      <c r="M158" s="24" t="str">
        <f>IF(OR(UPPER(TRIM(L158))="AB",L158=901,L158="901"),"F",IF(L158&gt;=8,"P","F"))</f>
        <v>P</v>
      </c>
      <c r="N158" s="24"/>
      <c r="O158" s="24"/>
      <c r="P158" s="24"/>
      <c r="Q158" s="24"/>
      <c r="R158" s="24"/>
      <c r="S158" s="24"/>
      <c r="T158" s="24"/>
      <c r="U158" s="24"/>
      <c r="V158" s="24"/>
      <c r="W158" s="24"/>
      <c r="X158" s="24"/>
      <c r="Y158" s="24"/>
      <c r="Z158" s="24"/>
      <c r="AA158" s="14"/>
      <c r="AB158" s="14" t="str">
        <f t="shared" ref="AB158:AB168" si="181">AV158 &amp; IF(AA158&lt;&gt;"", " @ " &amp; AA158, "")</f>
        <v>42</v>
      </c>
      <c r="AC158" s="24" t="str">
        <f t="shared" ref="AC158:AC168" si="182">IF(AX158&gt;=90,"O",
IF(AX158&gt;=80,"A+",
IF(AX158&gt;=70,"A",
IF(AX158&gt;=60,"B+",
IF(AX158&gt;=55,"B",
IF(AX158&gt;=50,"C",
IF(AX158&gt;=40,"D","F")))))))</f>
        <v>A+</v>
      </c>
      <c r="AD158" s="24" t="str">
        <f>SUM(AV158:AV168) &amp; IF(SUM(AA158:AA168)&gt;0, " @ " &amp; SUM(AA158:AA168), "")</f>
        <v>432</v>
      </c>
      <c r="AE158" s="18">
        <v>550</v>
      </c>
      <c r="AF158" s="25">
        <f>AY158/AE158*100</f>
        <v>78.545454545454547</v>
      </c>
      <c r="AG158" s="24" t="str" cm="1">
        <f t="array" ref="AG158">IF(
  SUMPRODUCT(--(IFERROR(VALUE(J158:J168),9999)&lt;8))
  + SUMPRODUCT(--(IFERROR(VALUE(L158:L168),9999)&lt;12))
  + COUNTIF(J158:J168,"AB") + COUNTIF(L158:L168,"AB")
  + COUNTIF(J158:J168,901) + COUNTIF(L158:L168,901) &gt; 0,
  "ATKT",
  "PASS"
)</f>
        <v>PASS</v>
      </c>
      <c r="AH158" s="26"/>
      <c r="AI158" s="18">
        <v>22</v>
      </c>
      <c r="AJ158" s="25">
        <f>SUM(AU158:AU168)</f>
        <v>18</v>
      </c>
      <c r="AK158" s="27">
        <f>SUM(AT158:AT168)</f>
        <v>188</v>
      </c>
      <c r="AL158" s="14">
        <f>IF(UPPER(TRIM(AG158))="ATKT",0,ROUND( (SUM(AT158:AT168) /22), 2))</f>
        <v>8.5500000000000007</v>
      </c>
      <c r="AM158" s="20"/>
      <c r="AN158" s="20"/>
      <c r="AO158" s="20"/>
      <c r="AP158" s="20"/>
      <c r="AQ158" s="18"/>
      <c r="AR158" s="14" t="str">
        <f t="shared" ref="AR158:AR168" si="183">IF(AL158&gt;=9,"O", IF(AL158&gt;=8,"A+", IF(AL158&gt;=7,"A", IF(AL158&gt;=6,"B+", IF(AL158&gt;=5.5,"B", IF(AL158&gt;=5,"C", IF(AL158&gt;=4,"D","F")))))))</f>
        <v>A+</v>
      </c>
      <c r="AS158" s="28">
        <f t="shared" ref="AS158:AS168" si="184">IF(AX158&gt;=90,10,
IF(AX158&gt;=80,9,
IF(AX158&gt;=70,8,
IF(AX158&gt;=60,7,
IF(AX158&gt;=55,6,
IF(AX158&gt;=50,5,
IF(AX158&gt;=40,4,0)))))))</f>
        <v>9</v>
      </c>
      <c r="AT158" s="28">
        <f t="shared" ref="AT158:AT168" si="185">AS158*I158</f>
        <v>18</v>
      </c>
      <c r="AU158" s="24">
        <f>IF(OR(UPPER(TRIM(AC158))="AB", AC158=901, AC158="901"), 0, IF(ISNUMBER(MATCH(UPPER(TRIM(AC158)), {"A+","A","B+","B","C","D","P"}, 0)), 2, 0))</f>
        <v>2</v>
      </c>
      <c r="AV158" s="24">
        <f t="shared" ref="AV158:AV168" si="186">SUM(
IF(OR(UPPER(TRIM(J158))="AB",J158=901,J158="901"),0,IFERROR(VALUE(J158),0)),
IF(OR(UPPER(TRIM(L158))="AB",L158=901,L158="901"),0,IFERROR(VALUE(L158),0)),
IF(OR(UPPER(TRIM(N158))="AB",N158=901,N158="901"),0,IFERROR(VALUE(N158),0))
)</f>
        <v>42</v>
      </c>
      <c r="AW158" s="19">
        <f t="shared" ref="AW158:AW168" si="187">AA158+AV158</f>
        <v>42</v>
      </c>
      <c r="AX158" s="18">
        <f t="shared" ref="AX158:AX168" si="188">(AW158 / 50) * 100</f>
        <v>84</v>
      </c>
      <c r="AY158" s="24">
        <f>SUM(AW158:AW168)</f>
        <v>432</v>
      </c>
    </row>
    <row r="159" spans="1:51">
      <c r="A159" s="7">
        <v>5077578</v>
      </c>
      <c r="B159" s="7"/>
      <c r="C159" s="33" t="s">
        <v>77</v>
      </c>
      <c r="D159" s="1" t="s">
        <v>47</v>
      </c>
      <c r="E159" s="3">
        <v>1</v>
      </c>
      <c r="F159" s="1" t="s">
        <v>48</v>
      </c>
      <c r="G159" s="1">
        <v>1171312</v>
      </c>
      <c r="H159" s="2" t="s">
        <v>51</v>
      </c>
      <c r="I159" s="5" t="s">
        <v>50</v>
      </c>
      <c r="J159" s="1">
        <v>18</v>
      </c>
      <c r="K159" s="13" t="str">
        <f t="shared" ref="K159:K168" si="189">IF(OR(UPPER(TRIM(J159))="AB",J159=901,J159="901"),"F",IF(J159&gt;=8,"P","F"))</f>
        <v>P</v>
      </c>
      <c r="L159" s="1">
        <v>17</v>
      </c>
      <c r="M159" s="13" t="str">
        <f t="shared" ref="M159:M168" si="190">IF(OR(UPPER(TRIM(L159))="AB",L159=901,L159="901"),"F",IF(L159&gt;=8,"P","F"))</f>
        <v>P</v>
      </c>
      <c r="AB159" s="7" t="str">
        <f t="shared" si="181"/>
        <v>35</v>
      </c>
      <c r="AC159" s="13" t="str">
        <f t="shared" si="182"/>
        <v>A</v>
      </c>
      <c r="AD159" s="13" t="str">
        <f>AD158</f>
        <v>432</v>
      </c>
      <c r="AE159" s="1">
        <v>550</v>
      </c>
      <c r="AF159" s="15">
        <f t="shared" ref="AF159:AG168" si="191">AF158</f>
        <v>78.545454545454547</v>
      </c>
      <c r="AG159" s="13" t="str">
        <f t="shared" si="191"/>
        <v>PASS</v>
      </c>
      <c r="AI159" s="1">
        <v>22</v>
      </c>
      <c r="AJ159" s="15">
        <f>AJ158</f>
        <v>18</v>
      </c>
      <c r="AK159" s="16">
        <f>AK158</f>
        <v>188</v>
      </c>
      <c r="AL159" s="7">
        <f>AL158</f>
        <v>8.5500000000000007</v>
      </c>
      <c r="AR159" s="7" t="str">
        <f t="shared" si="183"/>
        <v>A+</v>
      </c>
      <c r="AS159" s="8">
        <f t="shared" si="184"/>
        <v>8</v>
      </c>
      <c r="AT159" s="8">
        <f t="shared" si="185"/>
        <v>16</v>
      </c>
      <c r="AU159" s="13">
        <f>IF(OR(UPPER(TRIM(AC159))="AB", AC159=901, AC159="901"), 0, IF(ISNUMBER(MATCH(UPPER(TRIM(AC159)), {"A+","A","B+","B","C","D","P"}, 0)), 2, 0))</f>
        <v>2</v>
      </c>
      <c r="AV159" s="13">
        <f t="shared" si="186"/>
        <v>35</v>
      </c>
      <c r="AW159">
        <f t="shared" si="187"/>
        <v>35</v>
      </c>
      <c r="AX159" s="1">
        <f t="shared" si="188"/>
        <v>70</v>
      </c>
      <c r="AY159" s="13">
        <f t="shared" ref="AY159:AY168" si="192">AY158</f>
        <v>432</v>
      </c>
    </row>
    <row r="160" spans="1:51">
      <c r="A160" s="7">
        <v>5077578</v>
      </c>
      <c r="B160" s="7"/>
      <c r="C160" s="33" t="s">
        <v>77</v>
      </c>
      <c r="D160" s="1" t="s">
        <v>47</v>
      </c>
      <c r="E160" s="3">
        <v>1</v>
      </c>
      <c r="F160" s="1" t="s">
        <v>48</v>
      </c>
      <c r="G160" s="1">
        <v>1461111</v>
      </c>
      <c r="H160" s="2" t="s">
        <v>52</v>
      </c>
      <c r="I160" s="5" t="s">
        <v>50</v>
      </c>
      <c r="J160" s="1">
        <v>15</v>
      </c>
      <c r="K160" s="13" t="str">
        <f t="shared" si="189"/>
        <v>P</v>
      </c>
      <c r="L160" s="1">
        <v>16</v>
      </c>
      <c r="M160" s="13" t="str">
        <f t="shared" si="190"/>
        <v>P</v>
      </c>
      <c r="AB160" s="7" t="str">
        <f t="shared" si="181"/>
        <v>31</v>
      </c>
      <c r="AC160" s="13" t="str">
        <f t="shared" si="182"/>
        <v>B+</v>
      </c>
      <c r="AD160" s="13" t="str">
        <f t="shared" ref="AD160:AD168" si="193">AD159</f>
        <v>432</v>
      </c>
      <c r="AE160" s="1">
        <v>550</v>
      </c>
      <c r="AF160" s="15">
        <f t="shared" si="191"/>
        <v>78.545454545454547</v>
      </c>
      <c r="AG160" s="13" t="str">
        <f t="shared" si="191"/>
        <v>PASS</v>
      </c>
      <c r="AI160" s="1">
        <v>22</v>
      </c>
      <c r="AJ160" s="15">
        <f t="shared" ref="AJ160:AL168" si="194">AJ159</f>
        <v>18</v>
      </c>
      <c r="AK160" s="16">
        <f t="shared" si="194"/>
        <v>188</v>
      </c>
      <c r="AL160" s="7">
        <f t="shared" si="194"/>
        <v>8.5500000000000007</v>
      </c>
      <c r="AR160" s="7" t="str">
        <f t="shared" si="183"/>
        <v>A+</v>
      </c>
      <c r="AS160" s="8">
        <f t="shared" si="184"/>
        <v>7</v>
      </c>
      <c r="AT160" s="8">
        <f t="shared" si="185"/>
        <v>14</v>
      </c>
      <c r="AU160" s="13">
        <f>IF(OR(UPPER(TRIM(AC160))="AB", AC160=901, AC160="901"), 0, IF(ISNUMBER(MATCH(UPPER(TRIM(AC160)), {"A+","A","B+","B","C","D","P"}, 0)), 2, 0))</f>
        <v>2</v>
      </c>
      <c r="AV160" s="13">
        <f t="shared" si="186"/>
        <v>31</v>
      </c>
      <c r="AW160">
        <f t="shared" si="187"/>
        <v>31</v>
      </c>
      <c r="AX160" s="1">
        <f t="shared" si="188"/>
        <v>62</v>
      </c>
      <c r="AY160" s="13">
        <f t="shared" si="192"/>
        <v>432</v>
      </c>
    </row>
    <row r="161" spans="1:51">
      <c r="A161" s="7">
        <v>5077578</v>
      </c>
      <c r="B161" s="7"/>
      <c r="C161" s="33" t="s">
        <v>77</v>
      </c>
      <c r="D161" s="1" t="s">
        <v>47</v>
      </c>
      <c r="E161" s="3">
        <v>1</v>
      </c>
      <c r="F161" s="1" t="s">
        <v>48</v>
      </c>
      <c r="G161" s="1">
        <v>1461112</v>
      </c>
      <c r="H161" s="2" t="s">
        <v>53</v>
      </c>
      <c r="I161" s="5" t="s">
        <v>50</v>
      </c>
      <c r="J161" s="1">
        <v>15</v>
      </c>
      <c r="K161" s="13" t="str">
        <f t="shared" si="189"/>
        <v>P</v>
      </c>
      <c r="L161" s="1">
        <v>22</v>
      </c>
      <c r="M161" s="13" t="str">
        <f t="shared" si="190"/>
        <v>P</v>
      </c>
      <c r="AB161" s="7" t="str">
        <f t="shared" si="181"/>
        <v>37</v>
      </c>
      <c r="AC161" s="13" t="str">
        <f t="shared" si="182"/>
        <v>A</v>
      </c>
      <c r="AD161" s="13" t="str">
        <f t="shared" si="193"/>
        <v>432</v>
      </c>
      <c r="AE161" s="1">
        <v>550</v>
      </c>
      <c r="AF161" s="15">
        <f t="shared" si="191"/>
        <v>78.545454545454547</v>
      </c>
      <c r="AG161" s="13" t="str">
        <f t="shared" si="191"/>
        <v>PASS</v>
      </c>
      <c r="AI161" s="1">
        <v>22</v>
      </c>
      <c r="AJ161" s="15">
        <f t="shared" si="194"/>
        <v>18</v>
      </c>
      <c r="AK161" s="16">
        <f t="shared" si="194"/>
        <v>188</v>
      </c>
      <c r="AL161" s="7">
        <f t="shared" si="194"/>
        <v>8.5500000000000007</v>
      </c>
      <c r="AR161" s="7" t="str">
        <f t="shared" si="183"/>
        <v>A+</v>
      </c>
      <c r="AS161" s="8">
        <f t="shared" si="184"/>
        <v>8</v>
      </c>
      <c r="AT161" s="8">
        <f t="shared" si="185"/>
        <v>16</v>
      </c>
      <c r="AU161" s="13">
        <f>IF(OR(UPPER(TRIM(AC161))="AB", AC161=901, AC161="901"), 0, IF(ISNUMBER(MATCH(UPPER(TRIM(AC161)), {"A+","A","B+","B","C","D","P"}, 0)), 2, 0))</f>
        <v>2</v>
      </c>
      <c r="AV161" s="13">
        <f t="shared" si="186"/>
        <v>37</v>
      </c>
      <c r="AW161">
        <f t="shared" si="187"/>
        <v>37</v>
      </c>
      <c r="AX161" s="1">
        <f t="shared" si="188"/>
        <v>74</v>
      </c>
      <c r="AY161" s="13">
        <f t="shared" si="192"/>
        <v>432</v>
      </c>
    </row>
    <row r="162" spans="1:51">
      <c r="A162" s="7">
        <v>5077578</v>
      </c>
      <c r="B162" s="7"/>
      <c r="C162" s="33" t="s">
        <v>77</v>
      </c>
      <c r="D162" s="1" t="s">
        <v>47</v>
      </c>
      <c r="E162" s="3">
        <v>1</v>
      </c>
      <c r="F162" s="1" t="s">
        <v>48</v>
      </c>
      <c r="G162" s="1">
        <v>1461113</v>
      </c>
      <c r="H162" s="2" t="s">
        <v>54</v>
      </c>
      <c r="I162" s="5" t="s">
        <v>50</v>
      </c>
      <c r="J162" s="1">
        <v>20</v>
      </c>
      <c r="K162" s="13" t="str">
        <f t="shared" si="189"/>
        <v>P</v>
      </c>
      <c r="L162" s="1">
        <v>28</v>
      </c>
      <c r="M162" s="13" t="str">
        <f t="shared" si="190"/>
        <v>P</v>
      </c>
      <c r="AB162" s="7" t="str">
        <f t="shared" si="181"/>
        <v>48</v>
      </c>
      <c r="AC162" s="13" t="str">
        <f t="shared" si="182"/>
        <v>O</v>
      </c>
      <c r="AD162" s="13" t="str">
        <f t="shared" si="193"/>
        <v>432</v>
      </c>
      <c r="AE162" s="1">
        <v>550</v>
      </c>
      <c r="AF162" s="15">
        <f t="shared" si="191"/>
        <v>78.545454545454547</v>
      </c>
      <c r="AG162" s="13" t="str">
        <f t="shared" si="191"/>
        <v>PASS</v>
      </c>
      <c r="AI162" s="1">
        <v>22</v>
      </c>
      <c r="AJ162" s="15">
        <f t="shared" si="194"/>
        <v>18</v>
      </c>
      <c r="AK162" s="16">
        <f t="shared" si="194"/>
        <v>188</v>
      </c>
      <c r="AL162" s="7">
        <f t="shared" si="194"/>
        <v>8.5500000000000007</v>
      </c>
      <c r="AR162" s="7" t="str">
        <f t="shared" si="183"/>
        <v>A+</v>
      </c>
      <c r="AS162" s="8">
        <f t="shared" si="184"/>
        <v>10</v>
      </c>
      <c r="AT162" s="8">
        <f t="shared" si="185"/>
        <v>20</v>
      </c>
      <c r="AU162" s="13">
        <f>IF(OR(UPPER(TRIM(AC162))="AB", AC162=901, AC162="901"), 0, IF(ISNUMBER(MATCH(UPPER(TRIM(AC162)), {"A+","A","B+","B","C","D","P"}, 0)), 2, 0))</f>
        <v>0</v>
      </c>
      <c r="AV162" s="13">
        <f t="shared" si="186"/>
        <v>48</v>
      </c>
      <c r="AW162">
        <f t="shared" si="187"/>
        <v>48</v>
      </c>
      <c r="AX162" s="1">
        <f t="shared" si="188"/>
        <v>96</v>
      </c>
      <c r="AY162" s="13">
        <f t="shared" si="192"/>
        <v>432</v>
      </c>
    </row>
    <row r="163" spans="1:51">
      <c r="A163" s="7">
        <v>5077578</v>
      </c>
      <c r="B163" s="7"/>
      <c r="C163" s="33" t="s">
        <v>77</v>
      </c>
      <c r="D163" s="1" t="s">
        <v>47</v>
      </c>
      <c r="E163" s="3">
        <v>1</v>
      </c>
      <c r="F163" s="1" t="s">
        <v>48</v>
      </c>
      <c r="G163" s="1">
        <v>1461411</v>
      </c>
      <c r="H163" s="2" t="s">
        <v>55</v>
      </c>
      <c r="I163" s="5" t="s">
        <v>50</v>
      </c>
      <c r="J163" s="1">
        <v>17</v>
      </c>
      <c r="K163" s="13" t="str">
        <f t="shared" si="189"/>
        <v>P</v>
      </c>
      <c r="L163" s="1">
        <v>24</v>
      </c>
      <c r="M163" s="13" t="str">
        <f t="shared" si="190"/>
        <v>P</v>
      </c>
      <c r="AB163" s="7" t="str">
        <f t="shared" si="181"/>
        <v>41</v>
      </c>
      <c r="AC163" s="13" t="str">
        <f t="shared" si="182"/>
        <v>A+</v>
      </c>
      <c r="AD163" s="13" t="str">
        <f t="shared" si="193"/>
        <v>432</v>
      </c>
      <c r="AE163" s="1">
        <v>550</v>
      </c>
      <c r="AF163" s="15">
        <f t="shared" si="191"/>
        <v>78.545454545454547</v>
      </c>
      <c r="AG163" s="13" t="str">
        <f t="shared" si="191"/>
        <v>PASS</v>
      </c>
      <c r="AI163" s="1">
        <v>22</v>
      </c>
      <c r="AJ163" s="15">
        <f t="shared" si="194"/>
        <v>18</v>
      </c>
      <c r="AK163" s="16">
        <f t="shared" si="194"/>
        <v>188</v>
      </c>
      <c r="AL163" s="7">
        <f t="shared" si="194"/>
        <v>8.5500000000000007</v>
      </c>
      <c r="AR163" s="7" t="str">
        <f t="shared" si="183"/>
        <v>A+</v>
      </c>
      <c r="AS163" s="8">
        <f t="shared" si="184"/>
        <v>9</v>
      </c>
      <c r="AT163" s="8">
        <f t="shared" si="185"/>
        <v>18</v>
      </c>
      <c r="AU163" s="13">
        <f>IF(OR(UPPER(TRIM(AC163))="AB", AC163=901, AC163="901"), 0, IF(ISNUMBER(MATCH(UPPER(TRIM(AC163)), {"A+","A","B+","B","C","D","P"}, 0)), 2, 0))</f>
        <v>2</v>
      </c>
      <c r="AV163" s="13">
        <f t="shared" si="186"/>
        <v>41</v>
      </c>
      <c r="AW163">
        <f t="shared" si="187"/>
        <v>41</v>
      </c>
      <c r="AX163" s="1">
        <f t="shared" si="188"/>
        <v>82</v>
      </c>
      <c r="AY163" s="13">
        <f t="shared" si="192"/>
        <v>432</v>
      </c>
    </row>
    <row r="164" spans="1:51">
      <c r="A164" s="7">
        <v>5077578</v>
      </c>
      <c r="B164" s="7"/>
      <c r="C164" s="33" t="s">
        <v>77</v>
      </c>
      <c r="D164" s="1" t="s">
        <v>47</v>
      </c>
      <c r="E164" s="3">
        <v>1</v>
      </c>
      <c r="F164" s="1" t="s">
        <v>48</v>
      </c>
      <c r="G164" s="1">
        <v>1461412</v>
      </c>
      <c r="H164" s="2" t="s">
        <v>56</v>
      </c>
      <c r="I164" s="5" t="s">
        <v>50</v>
      </c>
      <c r="J164" s="1">
        <v>15</v>
      </c>
      <c r="K164" s="13" t="str">
        <f t="shared" si="189"/>
        <v>P</v>
      </c>
      <c r="L164" s="1">
        <v>17</v>
      </c>
      <c r="M164" s="13" t="str">
        <f t="shared" si="190"/>
        <v>P</v>
      </c>
      <c r="AB164" s="7" t="str">
        <f t="shared" si="181"/>
        <v>32</v>
      </c>
      <c r="AC164" s="13" t="str">
        <f t="shared" si="182"/>
        <v>B+</v>
      </c>
      <c r="AD164" s="13" t="str">
        <f t="shared" si="193"/>
        <v>432</v>
      </c>
      <c r="AE164" s="1">
        <v>550</v>
      </c>
      <c r="AF164" s="15">
        <f t="shared" si="191"/>
        <v>78.545454545454547</v>
      </c>
      <c r="AG164" s="13" t="str">
        <f t="shared" si="191"/>
        <v>PASS</v>
      </c>
      <c r="AI164" s="1">
        <v>22</v>
      </c>
      <c r="AJ164" s="15">
        <f t="shared" si="194"/>
        <v>18</v>
      </c>
      <c r="AK164" s="16">
        <f t="shared" si="194"/>
        <v>188</v>
      </c>
      <c r="AL164" s="7">
        <f t="shared" si="194"/>
        <v>8.5500000000000007</v>
      </c>
      <c r="AR164" s="7" t="str">
        <f t="shared" si="183"/>
        <v>A+</v>
      </c>
      <c r="AS164" s="8">
        <f t="shared" si="184"/>
        <v>7</v>
      </c>
      <c r="AT164" s="8">
        <f t="shared" si="185"/>
        <v>14</v>
      </c>
      <c r="AU164" s="13">
        <f>IF(OR(UPPER(TRIM(AC164))="AB", AC164=901, AC164="901"), 0, IF(ISNUMBER(MATCH(UPPER(TRIM(AC164)), {"A+","A","B+","B","C","D","P"}, 0)), 2, 0))</f>
        <v>2</v>
      </c>
      <c r="AV164" s="13">
        <f t="shared" si="186"/>
        <v>32</v>
      </c>
      <c r="AW164">
        <f t="shared" si="187"/>
        <v>32</v>
      </c>
      <c r="AX164" s="1">
        <f t="shared" si="188"/>
        <v>64</v>
      </c>
      <c r="AY164" s="13">
        <f t="shared" si="192"/>
        <v>432</v>
      </c>
    </row>
    <row r="165" spans="1:51">
      <c r="A165" s="7">
        <v>5077578</v>
      </c>
      <c r="B165" s="7"/>
      <c r="C165" s="33" t="s">
        <v>77</v>
      </c>
      <c r="D165" s="1" t="s">
        <v>47</v>
      </c>
      <c r="E165" s="3">
        <v>1</v>
      </c>
      <c r="F165" s="1" t="s">
        <v>48</v>
      </c>
      <c r="G165" s="1">
        <v>2511515</v>
      </c>
      <c r="H165" s="2" t="s">
        <v>57</v>
      </c>
      <c r="I165" s="5" t="s">
        <v>50</v>
      </c>
      <c r="J165" s="1">
        <v>15</v>
      </c>
      <c r="K165" s="13" t="str">
        <f t="shared" si="189"/>
        <v>P</v>
      </c>
      <c r="L165" s="1">
        <v>20</v>
      </c>
      <c r="M165" s="13" t="str">
        <f t="shared" si="190"/>
        <v>P</v>
      </c>
      <c r="AB165" s="7" t="str">
        <f t="shared" si="181"/>
        <v>35</v>
      </c>
      <c r="AC165" s="13" t="str">
        <f t="shared" si="182"/>
        <v>A</v>
      </c>
      <c r="AD165" s="13" t="str">
        <f t="shared" si="193"/>
        <v>432</v>
      </c>
      <c r="AE165" s="1">
        <v>550</v>
      </c>
      <c r="AF165" s="15">
        <f t="shared" si="191"/>
        <v>78.545454545454547</v>
      </c>
      <c r="AG165" s="13" t="str">
        <f t="shared" si="191"/>
        <v>PASS</v>
      </c>
      <c r="AI165" s="1">
        <v>22</v>
      </c>
      <c r="AJ165" s="15">
        <f t="shared" si="194"/>
        <v>18</v>
      </c>
      <c r="AK165" s="16">
        <f t="shared" si="194"/>
        <v>188</v>
      </c>
      <c r="AL165" s="7">
        <f t="shared" si="194"/>
        <v>8.5500000000000007</v>
      </c>
      <c r="AR165" s="7" t="str">
        <f t="shared" si="183"/>
        <v>A+</v>
      </c>
      <c r="AS165" s="8">
        <f t="shared" si="184"/>
        <v>8</v>
      </c>
      <c r="AT165" s="8">
        <f t="shared" si="185"/>
        <v>16</v>
      </c>
      <c r="AU165" s="13">
        <f>IF(OR(UPPER(TRIM(AC165))="AB", AC165=901, AC165="901"), 0, IF(ISNUMBER(MATCH(UPPER(TRIM(AC165)), {"A+","A","B+","B","C","D","P"}, 0)), 2, 0))</f>
        <v>2</v>
      </c>
      <c r="AV165" s="13">
        <f t="shared" si="186"/>
        <v>35</v>
      </c>
      <c r="AW165">
        <f t="shared" si="187"/>
        <v>35</v>
      </c>
      <c r="AX165" s="1">
        <f t="shared" si="188"/>
        <v>70</v>
      </c>
      <c r="AY165" s="13">
        <f t="shared" si="192"/>
        <v>432</v>
      </c>
    </row>
    <row r="166" spans="1:51">
      <c r="A166" s="7">
        <v>5077578</v>
      </c>
      <c r="B166" s="7"/>
      <c r="C166" s="33" t="s">
        <v>77</v>
      </c>
      <c r="D166" s="1" t="s">
        <v>47</v>
      </c>
      <c r="E166" s="3">
        <v>1</v>
      </c>
      <c r="F166" s="1" t="s">
        <v>48</v>
      </c>
      <c r="G166" s="1">
        <v>2521615</v>
      </c>
      <c r="H166" s="4" t="s">
        <v>58</v>
      </c>
      <c r="I166" s="5" t="s">
        <v>50</v>
      </c>
      <c r="J166" s="1">
        <v>20</v>
      </c>
      <c r="K166" s="13" t="str">
        <f t="shared" si="189"/>
        <v>P</v>
      </c>
      <c r="L166" s="1">
        <v>29</v>
      </c>
      <c r="M166" s="13" t="str">
        <f t="shared" si="190"/>
        <v>P</v>
      </c>
      <c r="AB166" s="7" t="str">
        <f t="shared" si="181"/>
        <v>49</v>
      </c>
      <c r="AC166" s="13" t="str">
        <f t="shared" si="182"/>
        <v>O</v>
      </c>
      <c r="AD166" s="13" t="str">
        <f t="shared" si="193"/>
        <v>432</v>
      </c>
      <c r="AE166" s="1">
        <v>550</v>
      </c>
      <c r="AF166" s="15">
        <f t="shared" si="191"/>
        <v>78.545454545454547</v>
      </c>
      <c r="AG166" s="13" t="str">
        <f t="shared" si="191"/>
        <v>PASS</v>
      </c>
      <c r="AI166" s="1">
        <v>22</v>
      </c>
      <c r="AJ166" s="15">
        <f t="shared" si="194"/>
        <v>18</v>
      </c>
      <c r="AK166" s="16">
        <f t="shared" si="194"/>
        <v>188</v>
      </c>
      <c r="AL166" s="7">
        <f t="shared" si="194"/>
        <v>8.5500000000000007</v>
      </c>
      <c r="AR166" s="7" t="str">
        <f t="shared" si="183"/>
        <v>A+</v>
      </c>
      <c r="AS166" s="8">
        <f t="shared" si="184"/>
        <v>10</v>
      </c>
      <c r="AT166" s="8">
        <f t="shared" si="185"/>
        <v>20</v>
      </c>
      <c r="AU166" s="13">
        <f>IF(OR(UPPER(TRIM(AC166))="AB", AC166=901, AC166="901"), 0, IF(ISNUMBER(MATCH(UPPER(TRIM(AC166)), {"A+","A","B+","B","C","D","P"}, 0)), 2, 0))</f>
        <v>0</v>
      </c>
      <c r="AV166" s="13">
        <f t="shared" si="186"/>
        <v>49</v>
      </c>
      <c r="AW166">
        <f t="shared" si="187"/>
        <v>49</v>
      </c>
      <c r="AX166" s="1">
        <f t="shared" si="188"/>
        <v>98</v>
      </c>
      <c r="AY166" s="13">
        <f t="shared" si="192"/>
        <v>432</v>
      </c>
    </row>
    <row r="167" spans="1:51">
      <c r="A167" s="7">
        <v>5077578</v>
      </c>
      <c r="B167" s="7"/>
      <c r="C167" s="33" t="s">
        <v>77</v>
      </c>
      <c r="D167" s="1" t="s">
        <v>47</v>
      </c>
      <c r="E167" s="3">
        <v>1</v>
      </c>
      <c r="F167" s="1" t="s">
        <v>48</v>
      </c>
      <c r="G167" s="1">
        <v>2531511</v>
      </c>
      <c r="H167" s="2" t="s">
        <v>59</v>
      </c>
      <c r="I167" s="5" t="s">
        <v>50</v>
      </c>
      <c r="J167" s="1">
        <v>18</v>
      </c>
      <c r="K167" s="13" t="str">
        <f t="shared" si="189"/>
        <v>P</v>
      </c>
      <c r="L167" s="1">
        <v>23</v>
      </c>
      <c r="M167" s="13" t="str">
        <f t="shared" si="190"/>
        <v>P</v>
      </c>
      <c r="AB167" s="7" t="str">
        <f t="shared" si="181"/>
        <v>41</v>
      </c>
      <c r="AC167" s="13" t="str">
        <f t="shared" si="182"/>
        <v>A+</v>
      </c>
      <c r="AD167" s="13" t="str">
        <f t="shared" si="193"/>
        <v>432</v>
      </c>
      <c r="AE167" s="1">
        <v>550</v>
      </c>
      <c r="AF167" s="15">
        <f t="shared" si="191"/>
        <v>78.545454545454547</v>
      </c>
      <c r="AG167" s="13" t="str">
        <f t="shared" si="191"/>
        <v>PASS</v>
      </c>
      <c r="AI167" s="1">
        <v>22</v>
      </c>
      <c r="AJ167" s="15">
        <f t="shared" si="194"/>
        <v>18</v>
      </c>
      <c r="AK167" s="16">
        <f t="shared" si="194"/>
        <v>188</v>
      </c>
      <c r="AL167" s="7">
        <f t="shared" si="194"/>
        <v>8.5500000000000007</v>
      </c>
      <c r="AR167" s="7" t="str">
        <f t="shared" si="183"/>
        <v>A+</v>
      </c>
      <c r="AS167" s="8">
        <f t="shared" si="184"/>
        <v>9</v>
      </c>
      <c r="AT167" s="8">
        <f t="shared" si="185"/>
        <v>18</v>
      </c>
      <c r="AU167" s="13">
        <f>IF(OR(UPPER(TRIM(AC167))="AB", AC167=901, AC167="901"), 0, IF(ISNUMBER(MATCH(UPPER(TRIM(AC167)), {"A+","A","B+","B","C","D","P"}, 0)), 2, 0))</f>
        <v>2</v>
      </c>
      <c r="AV167" s="13">
        <f t="shared" si="186"/>
        <v>41</v>
      </c>
      <c r="AW167">
        <f t="shared" si="187"/>
        <v>41</v>
      </c>
      <c r="AX167" s="1">
        <f t="shared" si="188"/>
        <v>82</v>
      </c>
      <c r="AY167" s="13">
        <f t="shared" si="192"/>
        <v>432</v>
      </c>
    </row>
    <row r="168" spans="1:51">
      <c r="A168" s="7">
        <v>5077578</v>
      </c>
      <c r="B168" s="7"/>
      <c r="C168" s="33" t="s">
        <v>77</v>
      </c>
      <c r="D168" s="1" t="s">
        <v>47</v>
      </c>
      <c r="E168" s="3">
        <v>1</v>
      </c>
      <c r="F168" s="1" t="s">
        <v>48</v>
      </c>
      <c r="G168" s="1">
        <v>2541515</v>
      </c>
      <c r="H168" s="2" t="s">
        <v>60</v>
      </c>
      <c r="I168" s="5" t="s">
        <v>50</v>
      </c>
      <c r="J168" s="1">
        <v>17</v>
      </c>
      <c r="K168" s="13" t="str">
        <f t="shared" si="189"/>
        <v>P</v>
      </c>
      <c r="L168" s="6">
        <v>24</v>
      </c>
      <c r="M168" s="13" t="str">
        <f t="shared" si="190"/>
        <v>P</v>
      </c>
      <c r="AB168" s="7" t="str">
        <f t="shared" si="181"/>
        <v>41</v>
      </c>
      <c r="AC168" s="13" t="str">
        <f t="shared" si="182"/>
        <v>A+</v>
      </c>
      <c r="AD168" s="13" t="str">
        <f t="shared" si="193"/>
        <v>432</v>
      </c>
      <c r="AE168" s="1">
        <v>550</v>
      </c>
      <c r="AF168" s="15">
        <f t="shared" si="191"/>
        <v>78.545454545454547</v>
      </c>
      <c r="AG168" s="13" t="str">
        <f t="shared" si="191"/>
        <v>PASS</v>
      </c>
      <c r="AI168" s="1">
        <v>22</v>
      </c>
      <c r="AJ168" s="15">
        <f t="shared" si="194"/>
        <v>18</v>
      </c>
      <c r="AK168" s="16">
        <f t="shared" si="194"/>
        <v>188</v>
      </c>
      <c r="AL168" s="7">
        <f t="shared" si="194"/>
        <v>8.5500000000000007</v>
      </c>
      <c r="AR168" s="7" t="str">
        <f t="shared" si="183"/>
        <v>A+</v>
      </c>
      <c r="AS168" s="8">
        <f t="shared" si="184"/>
        <v>9</v>
      </c>
      <c r="AT168" s="8">
        <f t="shared" si="185"/>
        <v>18</v>
      </c>
      <c r="AU168" s="13">
        <f>IF(OR(UPPER(TRIM(AC168))="AB", AC168=901, AC168="901"), 0, IF(ISNUMBER(MATCH(UPPER(TRIM(AC168)), {"A+","A","B+","B","C","D","P"}, 0)), 2, 0))</f>
        <v>2</v>
      </c>
      <c r="AV168" s="13">
        <f t="shared" si="186"/>
        <v>41</v>
      </c>
      <c r="AW168">
        <f t="shared" si="187"/>
        <v>41</v>
      </c>
      <c r="AX168" s="1">
        <f t="shared" si="188"/>
        <v>82</v>
      </c>
      <c r="AY168" s="13">
        <f t="shared" si="192"/>
        <v>432</v>
      </c>
    </row>
    <row r="170" spans="1:51">
      <c r="A170" s="7">
        <v>5077713</v>
      </c>
      <c r="B170" s="7"/>
      <c r="C170" s="33" t="s">
        <v>78</v>
      </c>
      <c r="D170" s="1" t="s">
        <v>47</v>
      </c>
      <c r="E170" s="3">
        <v>1</v>
      </c>
      <c r="F170" s="1" t="s">
        <v>48</v>
      </c>
      <c r="G170" s="1">
        <v>1011312</v>
      </c>
      <c r="H170" s="2" t="s">
        <v>49</v>
      </c>
      <c r="I170" s="5" t="s">
        <v>50</v>
      </c>
      <c r="J170" s="6">
        <v>11</v>
      </c>
      <c r="K170" s="13" t="str">
        <f>IF(OR(UPPER(TRIM(J170))="AB",J170=901,J170="901"),"F",IF(J170&gt;=8,"P","F"))</f>
        <v>P</v>
      </c>
      <c r="L170" s="1">
        <v>19</v>
      </c>
      <c r="M170" s="13" t="str">
        <f>IF(OR(UPPER(TRIM(L170))="AB",L170=901,L170="901"),"F",IF(L170&gt;=8,"P","F"))</f>
        <v>P</v>
      </c>
      <c r="N170" s="13"/>
      <c r="O170" s="13"/>
      <c r="P170" s="13"/>
      <c r="Q170" s="13"/>
      <c r="R170" s="13"/>
      <c r="S170" s="13"/>
      <c r="T170" s="13"/>
      <c r="U170" s="13"/>
      <c r="V170" s="13"/>
      <c r="W170" s="13"/>
      <c r="X170" s="13"/>
      <c r="Y170" s="13"/>
      <c r="Z170" s="13"/>
      <c r="AB170" s="7" t="str">
        <f t="shared" ref="AB170:AB180" si="195">AV170 &amp; IF(AA170&lt;&gt;"", " @ " &amp; AA170, "")</f>
        <v>30</v>
      </c>
      <c r="AC170" s="13" t="str">
        <f t="shared" ref="AC170:AC180" si="196">IF(AX170&gt;=90,"O",
IF(AX170&gt;=80,"A+",
IF(AX170&gt;=70,"A",
IF(AX170&gt;=60,"B+",
IF(AX170&gt;=55,"B",
IF(AX170&gt;=50,"C",
IF(AX170&gt;=40,"D","F")))))))</f>
        <v>B+</v>
      </c>
      <c r="AD170" s="13" t="str">
        <f>SUM(AV170:AV180) &amp; IF(SUM(AA170:AA180)&gt;0, " @ " &amp; SUM(AA170:AA180), "")</f>
        <v>201</v>
      </c>
      <c r="AE170" s="1">
        <v>550</v>
      </c>
      <c r="AF170" s="15">
        <f>AY170/AE170*100</f>
        <v>36.545454545454547</v>
      </c>
      <c r="AG170" s="13" t="str" cm="1">
        <f t="array" ref="AG170">IF(
  SUMPRODUCT(--(IFERROR(VALUE(J170:J180),9999)&lt;8))
  + SUMPRODUCT(--(IFERROR(VALUE(L170:L180),9999)&lt;12))
  + COUNTIF(J170:J180,"AB") + COUNTIF(L170:L180,"AB")
  + COUNTIF(J170:J180,901) + COUNTIF(L170:L180,901) &gt; 0,
  "ATKT",
  "PASS"
)</f>
        <v>ATKT</v>
      </c>
      <c r="AI170" s="1">
        <v>22</v>
      </c>
      <c r="AJ170" s="15">
        <f>SUM(AU170:AU180)</f>
        <v>12</v>
      </c>
      <c r="AK170" s="16">
        <f>SUM(AT170:AT180)</f>
        <v>56</v>
      </c>
      <c r="AL170" s="7">
        <f>IF(UPPER(TRIM(AG170))="ATKT",0,ROUND( (SUM(AT170:AT180) /22), 2))</f>
        <v>0</v>
      </c>
      <c r="AR170" s="7" t="str">
        <f t="shared" ref="AR170:AR180" si="197">IF(AL170&gt;=9,"O", IF(AL170&gt;=8,"A+", IF(AL170&gt;=7,"A", IF(AL170&gt;=6,"B+", IF(AL170&gt;=5.5,"B", IF(AL170&gt;=5,"C", IF(AL170&gt;=4,"D","F")))))))</f>
        <v>F</v>
      </c>
      <c r="AS170" s="8">
        <f t="shared" ref="AS170:AS180" si="198">IF(AX170&gt;=90,10,
IF(AX170&gt;=80,9,
IF(AX170&gt;=70,8,
IF(AX170&gt;=60,7,
IF(AX170&gt;=55,6,
IF(AX170&gt;=50,5,
IF(AX170&gt;=40,4,0)))))))</f>
        <v>7</v>
      </c>
      <c r="AT170" s="8">
        <f t="shared" ref="AT170:AT180" si="199">AS170*I170</f>
        <v>14</v>
      </c>
      <c r="AU170" s="13">
        <f>IF(OR(UPPER(TRIM(AC170))="AB", AC170=901, AC170="901"), 0, IF(ISNUMBER(MATCH(UPPER(TRIM(AC170)), {"A+","A","B+","B","C","D","P"}, 0)), 2, 0))</f>
        <v>2</v>
      </c>
      <c r="AV170" s="13">
        <f t="shared" ref="AV170:AV180" si="200">SUM(
IF(OR(UPPER(TRIM(J170))="AB",J170=901,J170="901"),0,IFERROR(VALUE(J170),0)),
IF(OR(UPPER(TRIM(L170))="AB",L170=901,L170="901"),0,IFERROR(VALUE(L170),0)),
IF(OR(UPPER(TRIM(N170))="AB",N170=901,N170="901"),0,IFERROR(VALUE(N170),0))
)</f>
        <v>30</v>
      </c>
      <c r="AW170">
        <f t="shared" ref="AW170:AW180" si="201">AA170+AV170</f>
        <v>30</v>
      </c>
      <c r="AX170" s="1">
        <f t="shared" ref="AX170:AX180" si="202">(AW170 / 50) * 100</f>
        <v>60</v>
      </c>
      <c r="AY170" s="13">
        <f>SUM(AW170:AW180)</f>
        <v>201</v>
      </c>
    </row>
    <row r="171" spans="1:51">
      <c r="A171" s="7">
        <v>5077713</v>
      </c>
      <c r="B171" s="7"/>
      <c r="C171" s="33" t="s">
        <v>78</v>
      </c>
      <c r="D171" s="1" t="s">
        <v>47</v>
      </c>
      <c r="E171" s="3">
        <v>1</v>
      </c>
      <c r="F171" s="1" t="s">
        <v>48</v>
      </c>
      <c r="G171" s="1">
        <v>1171312</v>
      </c>
      <c r="H171" s="2" t="s">
        <v>51</v>
      </c>
      <c r="I171" s="5" t="s">
        <v>50</v>
      </c>
      <c r="J171" s="1">
        <v>18</v>
      </c>
      <c r="K171" s="13" t="str">
        <f t="shared" ref="K171:K180" si="203">IF(OR(UPPER(TRIM(J171))="AB",J171=901,J171="901"),"F",IF(J171&gt;=8,"P","F"))</f>
        <v>P</v>
      </c>
      <c r="L171" s="1">
        <v>2</v>
      </c>
      <c r="M171" s="13" t="str">
        <f t="shared" ref="M171:M180" si="204">IF(OR(UPPER(TRIM(L171))="AB",L171=901,L171="901"),"F",IF(L171&gt;=8,"P","F"))</f>
        <v>F</v>
      </c>
      <c r="AB171" s="7" t="str">
        <f t="shared" si="195"/>
        <v>20</v>
      </c>
      <c r="AC171" s="13" t="str">
        <f t="shared" si="196"/>
        <v>D</v>
      </c>
      <c r="AD171" s="13" t="str">
        <f>AD170</f>
        <v>201</v>
      </c>
      <c r="AE171" s="1">
        <v>550</v>
      </c>
      <c r="AF171" s="15">
        <f t="shared" ref="AF171:AG180" si="205">AF170</f>
        <v>36.545454545454547</v>
      </c>
      <c r="AG171" s="13" t="str">
        <f t="shared" si="205"/>
        <v>ATKT</v>
      </c>
      <c r="AI171" s="1">
        <v>22</v>
      </c>
      <c r="AJ171" s="15">
        <f>AJ170</f>
        <v>12</v>
      </c>
      <c r="AK171" s="16">
        <f>AK170</f>
        <v>56</v>
      </c>
      <c r="AL171" s="7">
        <f>AL170</f>
        <v>0</v>
      </c>
      <c r="AR171" s="7" t="str">
        <f t="shared" si="197"/>
        <v>F</v>
      </c>
      <c r="AS171" s="8">
        <f t="shared" si="198"/>
        <v>4</v>
      </c>
      <c r="AT171" s="8">
        <f t="shared" si="199"/>
        <v>8</v>
      </c>
      <c r="AU171" s="13">
        <f>IF(OR(UPPER(TRIM(AC171))="AB", AC171=901, AC171="901"), 0, IF(ISNUMBER(MATCH(UPPER(TRIM(AC171)), {"A+","A","B+","B","C","D","P"}, 0)), 2, 0))</f>
        <v>2</v>
      </c>
      <c r="AV171" s="13">
        <f t="shared" si="200"/>
        <v>20</v>
      </c>
      <c r="AW171">
        <f t="shared" si="201"/>
        <v>20</v>
      </c>
      <c r="AX171" s="1">
        <f t="shared" si="202"/>
        <v>40</v>
      </c>
      <c r="AY171" s="13">
        <f t="shared" ref="AY171:AY180" si="206">AY170</f>
        <v>201</v>
      </c>
    </row>
    <row r="172" spans="1:51">
      <c r="A172" s="7">
        <v>5077713</v>
      </c>
      <c r="B172" s="7"/>
      <c r="C172" s="33" t="s">
        <v>78</v>
      </c>
      <c r="D172" s="1" t="s">
        <v>47</v>
      </c>
      <c r="E172" s="3">
        <v>1</v>
      </c>
      <c r="F172" s="1" t="s">
        <v>48</v>
      </c>
      <c r="G172" s="1">
        <v>1461111</v>
      </c>
      <c r="H172" s="2" t="s">
        <v>52</v>
      </c>
      <c r="I172" s="5" t="s">
        <v>50</v>
      </c>
      <c r="J172" s="1">
        <v>10</v>
      </c>
      <c r="K172" s="13" t="str">
        <f t="shared" si="203"/>
        <v>P</v>
      </c>
      <c r="L172" s="1">
        <v>0</v>
      </c>
      <c r="M172" s="13" t="str">
        <f t="shared" si="204"/>
        <v>F</v>
      </c>
      <c r="AB172" s="7" t="str">
        <f t="shared" si="195"/>
        <v>10</v>
      </c>
      <c r="AC172" s="13" t="str">
        <f t="shared" si="196"/>
        <v>F</v>
      </c>
      <c r="AD172" s="13" t="str">
        <f t="shared" ref="AD172:AD180" si="207">AD171</f>
        <v>201</v>
      </c>
      <c r="AE172" s="1">
        <v>550</v>
      </c>
      <c r="AF172" s="15">
        <f t="shared" si="205"/>
        <v>36.545454545454547</v>
      </c>
      <c r="AG172" s="13" t="str">
        <f t="shared" si="205"/>
        <v>ATKT</v>
      </c>
      <c r="AI172" s="1">
        <v>22</v>
      </c>
      <c r="AJ172" s="15">
        <f t="shared" ref="AJ172:AL180" si="208">AJ171</f>
        <v>12</v>
      </c>
      <c r="AK172" s="16">
        <f t="shared" si="208"/>
        <v>56</v>
      </c>
      <c r="AL172" s="7">
        <f t="shared" si="208"/>
        <v>0</v>
      </c>
      <c r="AR172" s="7" t="str">
        <f t="shared" si="197"/>
        <v>F</v>
      </c>
      <c r="AS172" s="8">
        <f t="shared" si="198"/>
        <v>0</v>
      </c>
      <c r="AT172" s="8">
        <f t="shared" si="199"/>
        <v>0</v>
      </c>
      <c r="AU172" s="13">
        <f>IF(OR(UPPER(TRIM(AC172))="AB", AC172=901, AC172="901"), 0, IF(ISNUMBER(MATCH(UPPER(TRIM(AC172)), {"A+","A","B+","B","C","D","P"}, 0)), 2, 0))</f>
        <v>0</v>
      </c>
      <c r="AV172" s="13">
        <f t="shared" si="200"/>
        <v>10</v>
      </c>
      <c r="AW172">
        <f t="shared" si="201"/>
        <v>10</v>
      </c>
      <c r="AX172" s="1">
        <f t="shared" si="202"/>
        <v>20</v>
      </c>
      <c r="AY172" s="13">
        <f t="shared" si="206"/>
        <v>201</v>
      </c>
    </row>
    <row r="173" spans="1:51">
      <c r="A173" s="7">
        <v>5077713</v>
      </c>
      <c r="B173" s="7"/>
      <c r="C173" s="33" t="s">
        <v>78</v>
      </c>
      <c r="D173" s="1" t="s">
        <v>47</v>
      </c>
      <c r="E173" s="3">
        <v>1</v>
      </c>
      <c r="F173" s="1" t="s">
        <v>48</v>
      </c>
      <c r="G173" s="1">
        <v>1461112</v>
      </c>
      <c r="H173" s="2" t="s">
        <v>53</v>
      </c>
      <c r="I173" s="5" t="s">
        <v>50</v>
      </c>
      <c r="J173" s="1">
        <v>10</v>
      </c>
      <c r="K173" s="13" t="str">
        <f t="shared" si="203"/>
        <v>P</v>
      </c>
      <c r="L173" s="1">
        <v>0</v>
      </c>
      <c r="M173" s="13" t="str">
        <f t="shared" si="204"/>
        <v>F</v>
      </c>
      <c r="AB173" s="7" t="str">
        <f t="shared" si="195"/>
        <v>10</v>
      </c>
      <c r="AC173" s="13" t="str">
        <f t="shared" si="196"/>
        <v>F</v>
      </c>
      <c r="AD173" s="13" t="str">
        <f t="shared" si="207"/>
        <v>201</v>
      </c>
      <c r="AE173" s="1">
        <v>550</v>
      </c>
      <c r="AF173" s="15">
        <f t="shared" si="205"/>
        <v>36.545454545454547</v>
      </c>
      <c r="AG173" s="13" t="str">
        <f t="shared" si="205"/>
        <v>ATKT</v>
      </c>
      <c r="AI173" s="1">
        <v>22</v>
      </c>
      <c r="AJ173" s="15">
        <f t="shared" si="208"/>
        <v>12</v>
      </c>
      <c r="AK173" s="16">
        <f t="shared" si="208"/>
        <v>56</v>
      </c>
      <c r="AL173" s="7">
        <f t="shared" si="208"/>
        <v>0</v>
      </c>
      <c r="AR173" s="7" t="str">
        <f t="shared" si="197"/>
        <v>F</v>
      </c>
      <c r="AS173" s="8">
        <f t="shared" si="198"/>
        <v>0</v>
      </c>
      <c r="AT173" s="8">
        <f t="shared" si="199"/>
        <v>0</v>
      </c>
      <c r="AU173" s="13">
        <f>IF(OR(UPPER(TRIM(AC173))="AB", AC173=901, AC173="901"), 0, IF(ISNUMBER(MATCH(UPPER(TRIM(AC173)), {"A+","A","B+","B","C","D","P"}, 0)), 2, 0))</f>
        <v>0</v>
      </c>
      <c r="AV173" s="13">
        <f t="shared" si="200"/>
        <v>10</v>
      </c>
      <c r="AW173">
        <f t="shared" si="201"/>
        <v>10</v>
      </c>
      <c r="AX173" s="1">
        <f t="shared" si="202"/>
        <v>20</v>
      </c>
      <c r="AY173" s="13">
        <f t="shared" si="206"/>
        <v>201</v>
      </c>
    </row>
    <row r="174" spans="1:51">
      <c r="A174" s="7">
        <v>5077713</v>
      </c>
      <c r="B174" s="7"/>
      <c r="C174" s="33" t="s">
        <v>78</v>
      </c>
      <c r="D174" s="1" t="s">
        <v>47</v>
      </c>
      <c r="E174" s="3">
        <v>1</v>
      </c>
      <c r="F174" s="1" t="s">
        <v>48</v>
      </c>
      <c r="G174" s="1">
        <v>1461113</v>
      </c>
      <c r="H174" s="2" t="s">
        <v>54</v>
      </c>
      <c r="I174" s="5" t="s">
        <v>50</v>
      </c>
      <c r="J174" s="1">
        <v>10</v>
      </c>
      <c r="K174" s="13" t="str">
        <f t="shared" si="203"/>
        <v>P</v>
      </c>
      <c r="L174" s="1">
        <v>3</v>
      </c>
      <c r="M174" s="13" t="str">
        <f t="shared" si="204"/>
        <v>F</v>
      </c>
      <c r="AB174" s="7" t="str">
        <f t="shared" si="195"/>
        <v>13</v>
      </c>
      <c r="AC174" s="13" t="str">
        <f t="shared" si="196"/>
        <v>F</v>
      </c>
      <c r="AD174" s="13" t="str">
        <f t="shared" si="207"/>
        <v>201</v>
      </c>
      <c r="AE174" s="1">
        <v>550</v>
      </c>
      <c r="AF174" s="15">
        <f t="shared" si="205"/>
        <v>36.545454545454547</v>
      </c>
      <c r="AG174" s="13" t="str">
        <f t="shared" si="205"/>
        <v>ATKT</v>
      </c>
      <c r="AI174" s="1">
        <v>22</v>
      </c>
      <c r="AJ174" s="15">
        <f t="shared" si="208"/>
        <v>12</v>
      </c>
      <c r="AK174" s="16">
        <f t="shared" si="208"/>
        <v>56</v>
      </c>
      <c r="AL174" s="7">
        <f t="shared" si="208"/>
        <v>0</v>
      </c>
      <c r="AR174" s="7" t="str">
        <f t="shared" si="197"/>
        <v>F</v>
      </c>
      <c r="AS174" s="8">
        <f t="shared" si="198"/>
        <v>0</v>
      </c>
      <c r="AT174" s="8">
        <f t="shared" si="199"/>
        <v>0</v>
      </c>
      <c r="AU174" s="13">
        <f>IF(OR(UPPER(TRIM(AC174))="AB", AC174=901, AC174="901"), 0, IF(ISNUMBER(MATCH(UPPER(TRIM(AC174)), {"A+","A","B+","B","C","D","P"}, 0)), 2, 0))</f>
        <v>0</v>
      </c>
      <c r="AV174" s="13">
        <f t="shared" si="200"/>
        <v>13</v>
      </c>
      <c r="AW174">
        <f t="shared" si="201"/>
        <v>13</v>
      </c>
      <c r="AX174" s="1">
        <f t="shared" si="202"/>
        <v>26</v>
      </c>
      <c r="AY174" s="13">
        <f t="shared" si="206"/>
        <v>201</v>
      </c>
    </row>
    <row r="175" spans="1:51">
      <c r="A175" s="7">
        <v>5077713</v>
      </c>
      <c r="B175" s="7"/>
      <c r="C175" s="33" t="s">
        <v>78</v>
      </c>
      <c r="D175" s="1" t="s">
        <v>47</v>
      </c>
      <c r="E175" s="3">
        <v>1</v>
      </c>
      <c r="F175" s="1" t="s">
        <v>48</v>
      </c>
      <c r="G175" s="1">
        <v>1461411</v>
      </c>
      <c r="H175" s="2" t="s">
        <v>55</v>
      </c>
      <c r="I175" s="5" t="s">
        <v>50</v>
      </c>
      <c r="J175" s="1">
        <v>10</v>
      </c>
      <c r="K175" s="13" t="str">
        <f t="shared" si="203"/>
        <v>P</v>
      </c>
      <c r="L175" s="1">
        <v>3</v>
      </c>
      <c r="M175" s="13" t="str">
        <f t="shared" si="204"/>
        <v>F</v>
      </c>
      <c r="AB175" s="7" t="str">
        <f t="shared" si="195"/>
        <v>13</v>
      </c>
      <c r="AC175" s="13" t="str">
        <f t="shared" si="196"/>
        <v>F</v>
      </c>
      <c r="AD175" s="13" t="str">
        <f t="shared" si="207"/>
        <v>201</v>
      </c>
      <c r="AE175" s="1">
        <v>550</v>
      </c>
      <c r="AF175" s="15">
        <f t="shared" si="205"/>
        <v>36.545454545454547</v>
      </c>
      <c r="AG175" s="13" t="str">
        <f t="shared" si="205"/>
        <v>ATKT</v>
      </c>
      <c r="AI175" s="1">
        <v>22</v>
      </c>
      <c r="AJ175" s="15">
        <f t="shared" si="208"/>
        <v>12</v>
      </c>
      <c r="AK175" s="16">
        <f t="shared" si="208"/>
        <v>56</v>
      </c>
      <c r="AL175" s="7">
        <f t="shared" si="208"/>
        <v>0</v>
      </c>
      <c r="AR175" s="7" t="str">
        <f t="shared" si="197"/>
        <v>F</v>
      </c>
      <c r="AS175" s="8">
        <f t="shared" si="198"/>
        <v>0</v>
      </c>
      <c r="AT175" s="8">
        <f t="shared" si="199"/>
        <v>0</v>
      </c>
      <c r="AU175" s="13">
        <f>IF(OR(UPPER(TRIM(AC175))="AB", AC175=901, AC175="901"), 0, IF(ISNUMBER(MATCH(UPPER(TRIM(AC175)), {"A+","A","B+","B","C","D","P"}, 0)), 2, 0))</f>
        <v>0</v>
      </c>
      <c r="AV175" s="13">
        <f t="shared" si="200"/>
        <v>13</v>
      </c>
      <c r="AW175">
        <f t="shared" si="201"/>
        <v>13</v>
      </c>
      <c r="AX175" s="1">
        <f t="shared" si="202"/>
        <v>26</v>
      </c>
      <c r="AY175" s="13">
        <f t="shared" si="206"/>
        <v>201</v>
      </c>
    </row>
    <row r="176" spans="1:51">
      <c r="A176" s="7">
        <v>5077713</v>
      </c>
      <c r="B176" s="7"/>
      <c r="C176" s="33" t="s">
        <v>78</v>
      </c>
      <c r="D176" s="1" t="s">
        <v>47</v>
      </c>
      <c r="E176" s="3">
        <v>1</v>
      </c>
      <c r="F176" s="1" t="s">
        <v>48</v>
      </c>
      <c r="G176" s="1">
        <v>1461412</v>
      </c>
      <c r="H176" s="2" t="s">
        <v>56</v>
      </c>
      <c r="I176" s="5" t="s">
        <v>50</v>
      </c>
      <c r="J176" s="1">
        <v>10</v>
      </c>
      <c r="K176" s="13" t="str">
        <f t="shared" si="203"/>
        <v>P</v>
      </c>
      <c r="L176" s="1">
        <v>0</v>
      </c>
      <c r="M176" s="13" t="str">
        <f t="shared" si="204"/>
        <v>F</v>
      </c>
      <c r="AB176" s="7" t="str">
        <f t="shared" si="195"/>
        <v>10</v>
      </c>
      <c r="AC176" s="13" t="str">
        <f t="shared" si="196"/>
        <v>F</v>
      </c>
      <c r="AD176" s="13" t="str">
        <f t="shared" si="207"/>
        <v>201</v>
      </c>
      <c r="AE176" s="1">
        <v>550</v>
      </c>
      <c r="AF176" s="15">
        <f t="shared" si="205"/>
        <v>36.545454545454547</v>
      </c>
      <c r="AG176" s="13" t="str">
        <f t="shared" si="205"/>
        <v>ATKT</v>
      </c>
      <c r="AI176" s="1">
        <v>22</v>
      </c>
      <c r="AJ176" s="15">
        <f t="shared" si="208"/>
        <v>12</v>
      </c>
      <c r="AK176" s="16">
        <f t="shared" si="208"/>
        <v>56</v>
      </c>
      <c r="AL176" s="7">
        <f t="shared" si="208"/>
        <v>0</v>
      </c>
      <c r="AR176" s="7" t="str">
        <f t="shared" si="197"/>
        <v>F</v>
      </c>
      <c r="AS176" s="8">
        <f t="shared" si="198"/>
        <v>0</v>
      </c>
      <c r="AT176" s="8">
        <f t="shared" si="199"/>
        <v>0</v>
      </c>
      <c r="AU176" s="13">
        <f>IF(OR(UPPER(TRIM(AC176))="AB", AC176=901, AC176="901"), 0, IF(ISNUMBER(MATCH(UPPER(TRIM(AC176)), {"A+","A","B+","B","C","D","P"}, 0)), 2, 0))</f>
        <v>0</v>
      </c>
      <c r="AV176" s="13">
        <f t="shared" si="200"/>
        <v>10</v>
      </c>
      <c r="AW176">
        <f t="shared" si="201"/>
        <v>10</v>
      </c>
      <c r="AX176" s="1">
        <f t="shared" si="202"/>
        <v>20</v>
      </c>
      <c r="AY176" s="13">
        <f t="shared" si="206"/>
        <v>201</v>
      </c>
    </row>
    <row r="177" spans="1:51">
      <c r="A177" s="7">
        <v>5077713</v>
      </c>
      <c r="B177" s="7"/>
      <c r="C177" s="33" t="s">
        <v>78</v>
      </c>
      <c r="D177" s="1" t="s">
        <v>47</v>
      </c>
      <c r="E177" s="3">
        <v>1</v>
      </c>
      <c r="F177" s="1" t="s">
        <v>48</v>
      </c>
      <c r="G177" s="1">
        <v>2511515</v>
      </c>
      <c r="H177" s="2" t="s">
        <v>57</v>
      </c>
      <c r="I177" s="5" t="s">
        <v>50</v>
      </c>
      <c r="J177" s="1">
        <v>10</v>
      </c>
      <c r="K177" s="13" t="str">
        <f t="shared" si="203"/>
        <v>P</v>
      </c>
      <c r="L177" s="1">
        <v>12</v>
      </c>
      <c r="M177" s="13" t="str">
        <f t="shared" si="204"/>
        <v>P</v>
      </c>
      <c r="AB177" s="7" t="str">
        <f t="shared" si="195"/>
        <v>22</v>
      </c>
      <c r="AC177" s="13" t="str">
        <f t="shared" si="196"/>
        <v>D</v>
      </c>
      <c r="AD177" s="13" t="str">
        <f t="shared" si="207"/>
        <v>201</v>
      </c>
      <c r="AE177" s="1">
        <v>550</v>
      </c>
      <c r="AF177" s="15">
        <f t="shared" si="205"/>
        <v>36.545454545454547</v>
      </c>
      <c r="AG177" s="13" t="str">
        <f t="shared" si="205"/>
        <v>ATKT</v>
      </c>
      <c r="AI177" s="1">
        <v>22</v>
      </c>
      <c r="AJ177" s="15">
        <f t="shared" si="208"/>
        <v>12</v>
      </c>
      <c r="AK177" s="16">
        <f t="shared" si="208"/>
        <v>56</v>
      </c>
      <c r="AL177" s="7">
        <f t="shared" si="208"/>
        <v>0</v>
      </c>
      <c r="AR177" s="7" t="str">
        <f t="shared" si="197"/>
        <v>F</v>
      </c>
      <c r="AS177" s="8">
        <f t="shared" si="198"/>
        <v>4</v>
      </c>
      <c r="AT177" s="8">
        <f t="shared" si="199"/>
        <v>8</v>
      </c>
      <c r="AU177" s="13">
        <f>IF(OR(UPPER(TRIM(AC177))="AB", AC177=901, AC177="901"), 0, IF(ISNUMBER(MATCH(UPPER(TRIM(AC177)), {"A+","A","B+","B","C","D","P"}, 0)), 2, 0))</f>
        <v>2</v>
      </c>
      <c r="AV177" s="13">
        <f t="shared" si="200"/>
        <v>22</v>
      </c>
      <c r="AW177">
        <f t="shared" si="201"/>
        <v>22</v>
      </c>
      <c r="AX177" s="1">
        <f t="shared" si="202"/>
        <v>44</v>
      </c>
      <c r="AY177" s="13">
        <f t="shared" si="206"/>
        <v>201</v>
      </c>
    </row>
    <row r="178" spans="1:51">
      <c r="A178" s="7">
        <v>5077713</v>
      </c>
      <c r="B178" s="7"/>
      <c r="C178" s="33" t="s">
        <v>78</v>
      </c>
      <c r="D178" s="1" t="s">
        <v>47</v>
      </c>
      <c r="E178" s="3">
        <v>1</v>
      </c>
      <c r="F178" s="1" t="s">
        <v>48</v>
      </c>
      <c r="G178" s="1">
        <v>2521615</v>
      </c>
      <c r="H178" s="4" t="s">
        <v>58</v>
      </c>
      <c r="I178" s="5" t="s">
        <v>50</v>
      </c>
      <c r="J178" s="1">
        <v>12</v>
      </c>
      <c r="K178" s="13" t="str">
        <f t="shared" si="203"/>
        <v>P</v>
      </c>
      <c r="L178" s="1">
        <v>12</v>
      </c>
      <c r="M178" s="13" t="str">
        <f t="shared" si="204"/>
        <v>P</v>
      </c>
      <c r="AB178" s="7" t="str">
        <f t="shared" si="195"/>
        <v>24</v>
      </c>
      <c r="AC178" s="13" t="str">
        <f t="shared" si="196"/>
        <v>D</v>
      </c>
      <c r="AD178" s="13" t="str">
        <f t="shared" si="207"/>
        <v>201</v>
      </c>
      <c r="AE178" s="1">
        <v>550</v>
      </c>
      <c r="AF178" s="15">
        <f t="shared" si="205"/>
        <v>36.545454545454547</v>
      </c>
      <c r="AG178" s="13" t="str">
        <f t="shared" si="205"/>
        <v>ATKT</v>
      </c>
      <c r="AI178" s="1">
        <v>22</v>
      </c>
      <c r="AJ178" s="15">
        <f t="shared" si="208"/>
        <v>12</v>
      </c>
      <c r="AK178" s="16">
        <f t="shared" si="208"/>
        <v>56</v>
      </c>
      <c r="AL178" s="7">
        <f t="shared" si="208"/>
        <v>0</v>
      </c>
      <c r="AR178" s="7" t="str">
        <f t="shared" si="197"/>
        <v>F</v>
      </c>
      <c r="AS178" s="8">
        <f t="shared" si="198"/>
        <v>4</v>
      </c>
      <c r="AT178" s="8">
        <f t="shared" si="199"/>
        <v>8</v>
      </c>
      <c r="AU178" s="13">
        <f>IF(OR(UPPER(TRIM(AC178))="AB", AC178=901, AC178="901"), 0, IF(ISNUMBER(MATCH(UPPER(TRIM(AC178)), {"A+","A","B+","B","C","D","P"}, 0)), 2, 0))</f>
        <v>2</v>
      </c>
      <c r="AV178" s="13">
        <f t="shared" si="200"/>
        <v>24</v>
      </c>
      <c r="AW178">
        <f t="shared" si="201"/>
        <v>24</v>
      </c>
      <c r="AX178" s="1">
        <f t="shared" si="202"/>
        <v>48</v>
      </c>
      <c r="AY178" s="13">
        <f t="shared" si="206"/>
        <v>201</v>
      </c>
    </row>
    <row r="179" spans="1:51">
      <c r="A179" s="7">
        <v>5077713</v>
      </c>
      <c r="B179" s="7"/>
      <c r="C179" s="33" t="s">
        <v>78</v>
      </c>
      <c r="D179" s="1" t="s">
        <v>47</v>
      </c>
      <c r="E179" s="3">
        <v>1</v>
      </c>
      <c r="F179" s="1" t="s">
        <v>48</v>
      </c>
      <c r="G179" s="1">
        <v>2531511</v>
      </c>
      <c r="H179" s="2" t="s">
        <v>59</v>
      </c>
      <c r="I179" s="5" t="s">
        <v>50</v>
      </c>
      <c r="J179" s="1">
        <v>12</v>
      </c>
      <c r="K179" s="13" t="str">
        <f t="shared" si="203"/>
        <v>P</v>
      </c>
      <c r="L179" s="1">
        <v>12</v>
      </c>
      <c r="M179" s="13" t="str">
        <f t="shared" si="204"/>
        <v>P</v>
      </c>
      <c r="AB179" s="7" t="str">
        <f t="shared" si="195"/>
        <v>24</v>
      </c>
      <c r="AC179" s="13" t="str">
        <f t="shared" si="196"/>
        <v>D</v>
      </c>
      <c r="AD179" s="13" t="str">
        <f t="shared" si="207"/>
        <v>201</v>
      </c>
      <c r="AE179" s="1">
        <v>550</v>
      </c>
      <c r="AF179" s="15">
        <f t="shared" si="205"/>
        <v>36.545454545454547</v>
      </c>
      <c r="AG179" s="13" t="str">
        <f t="shared" si="205"/>
        <v>ATKT</v>
      </c>
      <c r="AI179" s="1">
        <v>22</v>
      </c>
      <c r="AJ179" s="15">
        <f t="shared" si="208"/>
        <v>12</v>
      </c>
      <c r="AK179" s="16">
        <f t="shared" si="208"/>
        <v>56</v>
      </c>
      <c r="AL179" s="7">
        <f t="shared" si="208"/>
        <v>0</v>
      </c>
      <c r="AR179" s="7" t="str">
        <f t="shared" si="197"/>
        <v>F</v>
      </c>
      <c r="AS179" s="8">
        <f t="shared" si="198"/>
        <v>4</v>
      </c>
      <c r="AT179" s="8">
        <f t="shared" si="199"/>
        <v>8</v>
      </c>
      <c r="AU179" s="13">
        <f>IF(OR(UPPER(TRIM(AC179))="AB", AC179=901, AC179="901"), 0, IF(ISNUMBER(MATCH(UPPER(TRIM(AC179)), {"A+","A","B+","B","C","D","P"}, 0)), 2, 0))</f>
        <v>2</v>
      </c>
      <c r="AV179" s="13">
        <f t="shared" si="200"/>
        <v>24</v>
      </c>
      <c r="AW179">
        <f t="shared" si="201"/>
        <v>24</v>
      </c>
      <c r="AX179" s="1">
        <f t="shared" si="202"/>
        <v>48</v>
      </c>
      <c r="AY179" s="13">
        <f t="shared" si="206"/>
        <v>201</v>
      </c>
    </row>
    <row r="180" spans="1:51">
      <c r="A180" s="7">
        <v>5077713</v>
      </c>
      <c r="B180" s="7"/>
      <c r="C180" s="33" t="s">
        <v>78</v>
      </c>
      <c r="D180" s="1" t="s">
        <v>47</v>
      </c>
      <c r="E180" s="3">
        <v>1</v>
      </c>
      <c r="F180" s="1" t="s">
        <v>48</v>
      </c>
      <c r="G180" s="1">
        <v>2541515</v>
      </c>
      <c r="H180" s="2" t="s">
        <v>60</v>
      </c>
      <c r="I180" s="5" t="s">
        <v>50</v>
      </c>
      <c r="J180" s="1">
        <v>13</v>
      </c>
      <c r="K180" s="13" t="str">
        <f t="shared" si="203"/>
        <v>P</v>
      </c>
      <c r="L180" s="6">
        <v>12</v>
      </c>
      <c r="M180" s="13" t="str">
        <f t="shared" si="204"/>
        <v>P</v>
      </c>
      <c r="AB180" s="7" t="str">
        <f t="shared" si="195"/>
        <v>25</v>
      </c>
      <c r="AC180" s="13" t="str">
        <f t="shared" si="196"/>
        <v>C</v>
      </c>
      <c r="AD180" s="13" t="str">
        <f t="shared" si="207"/>
        <v>201</v>
      </c>
      <c r="AE180" s="1">
        <v>550</v>
      </c>
      <c r="AF180" s="15">
        <f t="shared" si="205"/>
        <v>36.545454545454547</v>
      </c>
      <c r="AG180" s="13" t="str">
        <f t="shared" si="205"/>
        <v>ATKT</v>
      </c>
      <c r="AI180" s="1">
        <v>22</v>
      </c>
      <c r="AJ180" s="15">
        <f t="shared" si="208"/>
        <v>12</v>
      </c>
      <c r="AK180" s="16">
        <f t="shared" si="208"/>
        <v>56</v>
      </c>
      <c r="AL180" s="7">
        <f t="shared" si="208"/>
        <v>0</v>
      </c>
      <c r="AR180" s="7" t="str">
        <f t="shared" si="197"/>
        <v>F</v>
      </c>
      <c r="AS180" s="8">
        <f t="shared" si="198"/>
        <v>5</v>
      </c>
      <c r="AT180" s="8">
        <f t="shared" si="199"/>
        <v>10</v>
      </c>
      <c r="AU180" s="13">
        <f>IF(OR(UPPER(TRIM(AC180))="AB", AC180=901, AC180="901"), 0, IF(ISNUMBER(MATCH(UPPER(TRIM(AC180)), {"A+","A","B+","B","C","D","P"}, 0)), 2, 0))</f>
        <v>2</v>
      </c>
      <c r="AV180" s="13">
        <f t="shared" si="200"/>
        <v>25</v>
      </c>
      <c r="AW180">
        <f t="shared" si="201"/>
        <v>25</v>
      </c>
      <c r="AX180" s="1">
        <f t="shared" si="202"/>
        <v>50</v>
      </c>
      <c r="AY180" s="13">
        <f t="shared" si="206"/>
        <v>201</v>
      </c>
    </row>
    <row r="182" spans="1:51">
      <c r="A182" s="7">
        <v>5100571</v>
      </c>
      <c r="B182" s="7"/>
      <c r="C182" s="33" t="s">
        <v>79</v>
      </c>
      <c r="D182" s="1" t="s">
        <v>47</v>
      </c>
      <c r="E182" s="3">
        <v>1</v>
      </c>
      <c r="F182" s="1" t="s">
        <v>48</v>
      </c>
      <c r="G182" s="1">
        <v>1011312</v>
      </c>
      <c r="H182" s="2" t="s">
        <v>49</v>
      </c>
      <c r="I182" s="5" t="s">
        <v>50</v>
      </c>
      <c r="J182" s="6">
        <v>18</v>
      </c>
      <c r="K182" s="13" t="str">
        <f>IF(OR(UPPER(TRIM(J182))="AB",J182=901,J182="901"),"F",IF(J182&gt;=8,"P","F"))</f>
        <v>P</v>
      </c>
      <c r="L182" s="1">
        <v>26</v>
      </c>
      <c r="M182" s="13" t="str">
        <f>IF(OR(UPPER(TRIM(L182))="AB",L182=901,L182="901"),"F",IF(L182&gt;=8,"P","F"))</f>
        <v>P</v>
      </c>
      <c r="N182" s="13"/>
      <c r="O182" s="13"/>
      <c r="P182" s="13"/>
      <c r="Q182" s="13"/>
      <c r="R182" s="13"/>
      <c r="S182" s="13"/>
      <c r="T182" s="13"/>
      <c r="U182" s="13"/>
      <c r="V182" s="13"/>
      <c r="W182" s="13"/>
      <c r="X182" s="13"/>
      <c r="Y182" s="13"/>
      <c r="Z182" s="13"/>
      <c r="AB182" s="7" t="str">
        <f t="shared" ref="AB182:AB192" si="209">AV182 &amp; IF(AA182&lt;&gt;"", " @ " &amp; AA182, "")</f>
        <v>44</v>
      </c>
      <c r="AC182" s="13" t="str">
        <f t="shared" ref="AC182:AC192" si="210">IF(AX182&gt;=90,"O",
IF(AX182&gt;=80,"A+",
IF(AX182&gt;=70,"A",
IF(AX182&gt;=60,"B+",
IF(AX182&gt;=55,"B",
IF(AX182&gt;=50,"C",
IF(AX182&gt;=40,"D","F")))))))</f>
        <v>A+</v>
      </c>
      <c r="AD182" s="13" t="str">
        <f>SUM(AV182:AV192) &amp; IF(SUM(AA182:AA192)&gt;0, " @ " &amp; SUM(AA182:AA192), "")</f>
        <v>373</v>
      </c>
      <c r="AE182" s="1">
        <v>550</v>
      </c>
      <c r="AF182" s="15">
        <f>AY182/AE182*100</f>
        <v>67.818181818181827</v>
      </c>
      <c r="AG182" s="13" t="str" cm="1">
        <f t="array" ref="AG182">IF(
  SUMPRODUCT(--(IFERROR(VALUE(J182:J192),9999)&lt;8))
  + SUMPRODUCT(--(IFERROR(VALUE(L182:L192),9999)&lt;12))
  + COUNTIF(J182:J192,"AB") + COUNTIF(L182:L192,"AB")
  + COUNTIF(J182:J192,901) + COUNTIF(L182:L192,901) &gt; 0,
  "ATKT",
  "PASS"
)</f>
        <v>PASS</v>
      </c>
      <c r="AI182" s="1">
        <v>22</v>
      </c>
      <c r="AJ182" s="15">
        <f>SUM(AU182:AU192)</f>
        <v>20</v>
      </c>
      <c r="AK182" s="16">
        <f>SUM(AT182:AT192)</f>
        <v>158</v>
      </c>
      <c r="AL182" s="7">
        <f>IF(UPPER(TRIM(AG182))="ATKT",0,ROUND( (SUM(AT182:AT192) /22), 2))</f>
        <v>7.18</v>
      </c>
      <c r="AR182" s="7" t="str">
        <f t="shared" ref="AR182:AR192" si="211">IF(AL182&gt;=9,"O", IF(AL182&gt;=8,"A+", IF(AL182&gt;=7,"A", IF(AL182&gt;=6,"B+", IF(AL182&gt;=5.5,"B", IF(AL182&gt;=5,"C", IF(AL182&gt;=4,"D","F")))))))</f>
        <v>A</v>
      </c>
      <c r="AS182" s="8">
        <f t="shared" ref="AS182:AS192" si="212">IF(AX182&gt;=90,10,
IF(AX182&gt;=80,9,
IF(AX182&gt;=70,8,
IF(AX182&gt;=60,7,
IF(AX182&gt;=55,6,
IF(AX182&gt;=50,5,
IF(AX182&gt;=40,4,0)))))))</f>
        <v>9</v>
      </c>
      <c r="AT182" s="8">
        <f t="shared" ref="AT182:AT192" si="213">AS182*I182</f>
        <v>18</v>
      </c>
      <c r="AU182" s="13">
        <f>IF(OR(UPPER(TRIM(AC182))="AB", AC182=901, AC182="901"), 0, IF(ISNUMBER(MATCH(UPPER(TRIM(AC182)), {"A+","A","B+","B","C","D","P"}, 0)), 2, 0))</f>
        <v>2</v>
      </c>
      <c r="AV182" s="13">
        <f t="shared" ref="AV182:AV192" si="214">SUM(
IF(OR(UPPER(TRIM(J182))="AB",J182=901,J182="901"),0,IFERROR(VALUE(J182),0)),
IF(OR(UPPER(TRIM(L182))="AB",L182=901,L182="901"),0,IFERROR(VALUE(L182),0)),
IF(OR(UPPER(TRIM(N182))="AB",N182=901,N182="901"),0,IFERROR(VALUE(N182),0))
)</f>
        <v>44</v>
      </c>
      <c r="AW182">
        <f t="shared" ref="AW182:AW192" si="215">AA182+AV182</f>
        <v>44</v>
      </c>
      <c r="AX182" s="1">
        <f t="shared" ref="AX182:AX192" si="216">(AW182 / 50) * 100</f>
        <v>88</v>
      </c>
      <c r="AY182" s="13">
        <f>SUM(AW182:AW192)</f>
        <v>373</v>
      </c>
    </row>
    <row r="183" spans="1:51">
      <c r="A183" s="7">
        <v>5100571</v>
      </c>
      <c r="B183" s="7"/>
      <c r="C183" s="33" t="s">
        <v>79</v>
      </c>
      <c r="D183" s="1" t="s">
        <v>47</v>
      </c>
      <c r="E183" s="3">
        <v>1</v>
      </c>
      <c r="F183" s="1" t="s">
        <v>48</v>
      </c>
      <c r="G183" s="1">
        <v>1171312</v>
      </c>
      <c r="H183" s="2" t="s">
        <v>51</v>
      </c>
      <c r="I183" s="5" t="s">
        <v>50</v>
      </c>
      <c r="J183" s="1">
        <v>18</v>
      </c>
      <c r="K183" s="13" t="str">
        <f t="shared" ref="K183:K192" si="217">IF(OR(UPPER(TRIM(J183))="AB",J183=901,J183="901"),"F",IF(J183&gt;=8,"P","F"))</f>
        <v>P</v>
      </c>
      <c r="L183" s="1">
        <v>12</v>
      </c>
      <c r="M183" s="13" t="str">
        <f t="shared" ref="M183:M192" si="218">IF(OR(UPPER(TRIM(L183))="AB",L183=901,L183="901"),"F",IF(L183&gt;=8,"P","F"))</f>
        <v>P</v>
      </c>
      <c r="AB183" s="7" t="str">
        <f t="shared" si="209"/>
        <v>30</v>
      </c>
      <c r="AC183" s="13" t="str">
        <f t="shared" si="210"/>
        <v>B+</v>
      </c>
      <c r="AD183" s="13" t="str">
        <f>AD182</f>
        <v>373</v>
      </c>
      <c r="AE183" s="1">
        <v>550</v>
      </c>
      <c r="AF183" s="15">
        <f t="shared" ref="AF183:AG192" si="219">AF182</f>
        <v>67.818181818181827</v>
      </c>
      <c r="AG183" s="13" t="str">
        <f t="shared" si="219"/>
        <v>PASS</v>
      </c>
      <c r="AI183" s="1">
        <v>22</v>
      </c>
      <c r="AJ183" s="15">
        <f>AJ182</f>
        <v>20</v>
      </c>
      <c r="AK183" s="16">
        <f>AK182</f>
        <v>158</v>
      </c>
      <c r="AL183" s="7">
        <f>AL182</f>
        <v>7.18</v>
      </c>
      <c r="AR183" s="7" t="str">
        <f t="shared" si="211"/>
        <v>A</v>
      </c>
      <c r="AS183" s="8">
        <f t="shared" si="212"/>
        <v>7</v>
      </c>
      <c r="AT183" s="8">
        <f t="shared" si="213"/>
        <v>14</v>
      </c>
      <c r="AU183" s="13">
        <f>IF(OR(UPPER(TRIM(AC183))="AB", AC183=901, AC183="901"), 0, IF(ISNUMBER(MATCH(UPPER(TRIM(AC183)), {"A+","A","B+","B","C","D","P"}, 0)), 2, 0))</f>
        <v>2</v>
      </c>
      <c r="AV183" s="13">
        <f t="shared" si="214"/>
        <v>30</v>
      </c>
      <c r="AW183">
        <f t="shared" si="215"/>
        <v>30</v>
      </c>
      <c r="AX183" s="1">
        <f t="shared" si="216"/>
        <v>60</v>
      </c>
      <c r="AY183" s="13">
        <f t="shared" ref="AY183:AY192" si="220">AY182</f>
        <v>373</v>
      </c>
    </row>
    <row r="184" spans="1:51">
      <c r="A184" s="7">
        <v>5100571</v>
      </c>
      <c r="B184" s="7"/>
      <c r="C184" s="33" t="s">
        <v>79</v>
      </c>
      <c r="D184" s="1" t="s">
        <v>47</v>
      </c>
      <c r="E184" s="3">
        <v>1</v>
      </c>
      <c r="F184" s="1" t="s">
        <v>48</v>
      </c>
      <c r="G184" s="1">
        <v>1461111</v>
      </c>
      <c r="H184" s="2" t="s">
        <v>52</v>
      </c>
      <c r="I184" s="5" t="s">
        <v>50</v>
      </c>
      <c r="J184" s="1">
        <v>14</v>
      </c>
      <c r="K184" s="13" t="str">
        <f t="shared" si="217"/>
        <v>P</v>
      </c>
      <c r="L184" s="1">
        <v>12</v>
      </c>
      <c r="M184" s="13" t="str">
        <f t="shared" si="218"/>
        <v>P</v>
      </c>
      <c r="AB184" s="7" t="str">
        <f t="shared" si="209"/>
        <v>26</v>
      </c>
      <c r="AC184" s="13" t="str">
        <f t="shared" si="210"/>
        <v>C</v>
      </c>
      <c r="AD184" s="13" t="str">
        <f t="shared" ref="AD184:AD192" si="221">AD183</f>
        <v>373</v>
      </c>
      <c r="AE184" s="1">
        <v>550</v>
      </c>
      <c r="AF184" s="15">
        <f t="shared" si="219"/>
        <v>67.818181818181827</v>
      </c>
      <c r="AG184" s="13" t="str">
        <f t="shared" si="219"/>
        <v>PASS</v>
      </c>
      <c r="AI184" s="1">
        <v>22</v>
      </c>
      <c r="AJ184" s="15">
        <f t="shared" ref="AJ184:AL192" si="222">AJ183</f>
        <v>20</v>
      </c>
      <c r="AK184" s="16">
        <f t="shared" si="222"/>
        <v>158</v>
      </c>
      <c r="AL184" s="7">
        <f t="shared" si="222"/>
        <v>7.18</v>
      </c>
      <c r="AR184" s="7" t="str">
        <f t="shared" si="211"/>
        <v>A</v>
      </c>
      <c r="AS184" s="8">
        <f t="shared" si="212"/>
        <v>5</v>
      </c>
      <c r="AT184" s="8">
        <f t="shared" si="213"/>
        <v>10</v>
      </c>
      <c r="AU184" s="13">
        <f>IF(OR(UPPER(TRIM(AC184))="AB", AC184=901, AC184="901"), 0, IF(ISNUMBER(MATCH(UPPER(TRIM(AC184)), {"A+","A","B+","B","C","D","P"}, 0)), 2, 0))</f>
        <v>2</v>
      </c>
      <c r="AV184" s="13">
        <f t="shared" si="214"/>
        <v>26</v>
      </c>
      <c r="AW184">
        <f t="shared" si="215"/>
        <v>26</v>
      </c>
      <c r="AX184" s="1">
        <f t="shared" si="216"/>
        <v>52</v>
      </c>
      <c r="AY184" s="13">
        <f t="shared" si="220"/>
        <v>373</v>
      </c>
    </row>
    <row r="185" spans="1:51">
      <c r="A185" s="7">
        <v>5100571</v>
      </c>
      <c r="B185" s="7"/>
      <c r="C185" s="33" t="s">
        <v>79</v>
      </c>
      <c r="D185" s="1" t="s">
        <v>47</v>
      </c>
      <c r="E185" s="3">
        <v>1</v>
      </c>
      <c r="F185" s="1" t="s">
        <v>48</v>
      </c>
      <c r="G185" s="1">
        <v>1461112</v>
      </c>
      <c r="H185" s="2" t="s">
        <v>53</v>
      </c>
      <c r="I185" s="5" t="s">
        <v>50</v>
      </c>
      <c r="J185" s="1">
        <v>14</v>
      </c>
      <c r="K185" s="13" t="str">
        <f t="shared" si="217"/>
        <v>P</v>
      </c>
      <c r="L185" s="1">
        <v>12</v>
      </c>
      <c r="M185" s="13" t="str">
        <f t="shared" si="218"/>
        <v>P</v>
      </c>
      <c r="AB185" s="7" t="str">
        <f t="shared" si="209"/>
        <v>26</v>
      </c>
      <c r="AC185" s="13" t="str">
        <f t="shared" si="210"/>
        <v>C</v>
      </c>
      <c r="AD185" s="13" t="str">
        <f t="shared" si="221"/>
        <v>373</v>
      </c>
      <c r="AE185" s="1">
        <v>550</v>
      </c>
      <c r="AF185" s="15">
        <f t="shared" si="219"/>
        <v>67.818181818181827</v>
      </c>
      <c r="AG185" s="13" t="str">
        <f t="shared" si="219"/>
        <v>PASS</v>
      </c>
      <c r="AI185" s="1">
        <v>22</v>
      </c>
      <c r="AJ185" s="15">
        <f t="shared" si="222"/>
        <v>20</v>
      </c>
      <c r="AK185" s="16">
        <f t="shared" si="222"/>
        <v>158</v>
      </c>
      <c r="AL185" s="7">
        <f t="shared" si="222"/>
        <v>7.18</v>
      </c>
      <c r="AR185" s="7" t="str">
        <f t="shared" si="211"/>
        <v>A</v>
      </c>
      <c r="AS185" s="8">
        <f t="shared" si="212"/>
        <v>5</v>
      </c>
      <c r="AT185" s="8">
        <f t="shared" si="213"/>
        <v>10</v>
      </c>
      <c r="AU185" s="13">
        <f>IF(OR(UPPER(TRIM(AC185))="AB", AC185=901, AC185="901"), 0, IF(ISNUMBER(MATCH(UPPER(TRIM(AC185)), {"A+","A","B+","B","C","D","P"}, 0)), 2, 0))</f>
        <v>2</v>
      </c>
      <c r="AV185" s="13">
        <f t="shared" si="214"/>
        <v>26</v>
      </c>
      <c r="AW185">
        <f t="shared" si="215"/>
        <v>26</v>
      </c>
      <c r="AX185" s="1">
        <f t="shared" si="216"/>
        <v>52</v>
      </c>
      <c r="AY185" s="13">
        <f t="shared" si="220"/>
        <v>373</v>
      </c>
    </row>
    <row r="186" spans="1:51">
      <c r="A186" s="7">
        <v>5100571</v>
      </c>
      <c r="B186" s="7"/>
      <c r="C186" s="33" t="s">
        <v>79</v>
      </c>
      <c r="D186" s="1" t="s">
        <v>47</v>
      </c>
      <c r="E186" s="3">
        <v>1</v>
      </c>
      <c r="F186" s="1" t="s">
        <v>48</v>
      </c>
      <c r="G186" s="1">
        <v>1461113</v>
      </c>
      <c r="H186" s="2" t="s">
        <v>54</v>
      </c>
      <c r="I186" s="5" t="s">
        <v>50</v>
      </c>
      <c r="J186" s="1">
        <v>20</v>
      </c>
      <c r="K186" s="13" t="str">
        <f t="shared" si="217"/>
        <v>P</v>
      </c>
      <c r="L186" s="1">
        <v>26</v>
      </c>
      <c r="M186" s="13" t="str">
        <f t="shared" si="218"/>
        <v>P</v>
      </c>
      <c r="AB186" s="7" t="str">
        <f t="shared" si="209"/>
        <v>46</v>
      </c>
      <c r="AC186" s="13" t="str">
        <f t="shared" si="210"/>
        <v>O</v>
      </c>
      <c r="AD186" s="13" t="str">
        <f t="shared" si="221"/>
        <v>373</v>
      </c>
      <c r="AE186" s="1">
        <v>550</v>
      </c>
      <c r="AF186" s="15">
        <f t="shared" si="219"/>
        <v>67.818181818181827</v>
      </c>
      <c r="AG186" s="13" t="str">
        <f t="shared" si="219"/>
        <v>PASS</v>
      </c>
      <c r="AI186" s="1">
        <v>22</v>
      </c>
      <c r="AJ186" s="15">
        <f t="shared" si="222"/>
        <v>20</v>
      </c>
      <c r="AK186" s="16">
        <f t="shared" si="222"/>
        <v>158</v>
      </c>
      <c r="AL186" s="7">
        <f t="shared" si="222"/>
        <v>7.18</v>
      </c>
      <c r="AR186" s="7" t="str">
        <f t="shared" si="211"/>
        <v>A</v>
      </c>
      <c r="AS186" s="8">
        <f t="shared" si="212"/>
        <v>10</v>
      </c>
      <c r="AT186" s="8">
        <f t="shared" si="213"/>
        <v>20</v>
      </c>
      <c r="AU186" s="13">
        <f>IF(OR(UPPER(TRIM(AC186))="AB", AC186=901, AC186="901"), 0, IF(ISNUMBER(MATCH(UPPER(TRIM(AC186)), {"A+","A","B+","B","C","D","P"}, 0)), 2, 0))</f>
        <v>0</v>
      </c>
      <c r="AV186" s="13">
        <f t="shared" si="214"/>
        <v>46</v>
      </c>
      <c r="AW186">
        <f t="shared" si="215"/>
        <v>46</v>
      </c>
      <c r="AX186" s="1">
        <f t="shared" si="216"/>
        <v>92</v>
      </c>
      <c r="AY186" s="13">
        <f t="shared" si="220"/>
        <v>373</v>
      </c>
    </row>
    <row r="187" spans="1:51" s="19" customFormat="1">
      <c r="A187" s="14">
        <v>5100571</v>
      </c>
      <c r="B187" s="14"/>
      <c r="C187" s="34" t="s">
        <v>79</v>
      </c>
      <c r="D187" s="18" t="s">
        <v>47</v>
      </c>
      <c r="E187" s="20">
        <v>1</v>
      </c>
      <c r="F187" s="18" t="s">
        <v>48</v>
      </c>
      <c r="G187" s="18">
        <v>1461411</v>
      </c>
      <c r="H187" s="21" t="s">
        <v>55</v>
      </c>
      <c r="I187" s="22" t="s">
        <v>50</v>
      </c>
      <c r="J187" s="18">
        <v>19</v>
      </c>
      <c r="K187" s="24" t="str">
        <f t="shared" si="217"/>
        <v>P</v>
      </c>
      <c r="L187" s="18">
        <v>24</v>
      </c>
      <c r="M187" s="24" t="str">
        <f t="shared" si="218"/>
        <v>P</v>
      </c>
      <c r="N187" s="20"/>
      <c r="O187" s="20"/>
      <c r="P187" s="20"/>
      <c r="Q187" s="20"/>
      <c r="R187" s="20"/>
      <c r="S187" s="20"/>
      <c r="T187" s="20"/>
      <c r="U187" s="20"/>
      <c r="V187" s="20"/>
      <c r="W187" s="20"/>
      <c r="X187" s="20"/>
      <c r="Y187" s="20"/>
      <c r="Z187" s="20"/>
      <c r="AA187" s="14"/>
      <c r="AB187" s="14" t="str">
        <f t="shared" si="209"/>
        <v>43</v>
      </c>
      <c r="AC187" s="24" t="str">
        <f t="shared" si="210"/>
        <v>A+</v>
      </c>
      <c r="AD187" s="24" t="str">
        <f t="shared" si="221"/>
        <v>373</v>
      </c>
      <c r="AE187" s="18">
        <v>550</v>
      </c>
      <c r="AF187" s="25">
        <f t="shared" si="219"/>
        <v>67.818181818181827</v>
      </c>
      <c r="AG187" s="24" t="str">
        <f t="shared" si="219"/>
        <v>PASS</v>
      </c>
      <c r="AH187" s="26"/>
      <c r="AI187" s="18">
        <v>22</v>
      </c>
      <c r="AJ187" s="25">
        <f t="shared" si="222"/>
        <v>20</v>
      </c>
      <c r="AK187" s="27">
        <f t="shared" si="222"/>
        <v>158</v>
      </c>
      <c r="AL187" s="14">
        <f t="shared" si="222"/>
        <v>7.18</v>
      </c>
      <c r="AM187" s="20"/>
      <c r="AN187" s="20"/>
      <c r="AO187" s="20"/>
      <c r="AP187" s="20"/>
      <c r="AQ187" s="18"/>
      <c r="AR187" s="14" t="str">
        <f t="shared" si="211"/>
        <v>A</v>
      </c>
      <c r="AS187" s="28">
        <f t="shared" si="212"/>
        <v>9</v>
      </c>
      <c r="AT187" s="28">
        <f t="shared" si="213"/>
        <v>18</v>
      </c>
      <c r="AU187" s="24">
        <f>IF(OR(UPPER(TRIM(AC187))="AB", AC187=901, AC187="901"), 0, IF(ISNUMBER(MATCH(UPPER(TRIM(AC187)), {"A+","A","B+","B","C","D","P"}, 0)), 2, 0))</f>
        <v>2</v>
      </c>
      <c r="AV187" s="24">
        <f t="shared" si="214"/>
        <v>43</v>
      </c>
      <c r="AW187" s="19">
        <f t="shared" si="215"/>
        <v>43</v>
      </c>
      <c r="AX187" s="18">
        <f t="shared" si="216"/>
        <v>86</v>
      </c>
      <c r="AY187" s="24">
        <f t="shared" si="220"/>
        <v>373</v>
      </c>
    </row>
    <row r="188" spans="1:51">
      <c r="A188" s="7">
        <v>5100571</v>
      </c>
      <c r="B188" s="7"/>
      <c r="C188" s="33" t="s">
        <v>79</v>
      </c>
      <c r="D188" s="1" t="s">
        <v>47</v>
      </c>
      <c r="E188" s="3">
        <v>1</v>
      </c>
      <c r="F188" s="1" t="s">
        <v>48</v>
      </c>
      <c r="G188" s="1">
        <v>1461412</v>
      </c>
      <c r="H188" s="2" t="s">
        <v>56</v>
      </c>
      <c r="I188" s="5" t="s">
        <v>50</v>
      </c>
      <c r="J188" s="1">
        <v>14</v>
      </c>
      <c r="K188" s="13" t="str">
        <f t="shared" si="217"/>
        <v>P</v>
      </c>
      <c r="L188" s="1">
        <v>20</v>
      </c>
      <c r="M188" s="13" t="str">
        <f t="shared" si="218"/>
        <v>P</v>
      </c>
      <c r="AB188" s="7" t="str">
        <f t="shared" si="209"/>
        <v>34</v>
      </c>
      <c r="AC188" s="13" t="str">
        <f t="shared" si="210"/>
        <v>B+</v>
      </c>
      <c r="AD188" s="13" t="str">
        <f t="shared" si="221"/>
        <v>373</v>
      </c>
      <c r="AE188" s="1">
        <v>550</v>
      </c>
      <c r="AF188" s="15">
        <f t="shared" si="219"/>
        <v>67.818181818181827</v>
      </c>
      <c r="AG188" s="13" t="str">
        <f t="shared" si="219"/>
        <v>PASS</v>
      </c>
      <c r="AI188" s="1">
        <v>22</v>
      </c>
      <c r="AJ188" s="15">
        <f t="shared" si="222"/>
        <v>20</v>
      </c>
      <c r="AK188" s="16">
        <f t="shared" si="222"/>
        <v>158</v>
      </c>
      <c r="AL188" s="7">
        <f t="shared" si="222"/>
        <v>7.18</v>
      </c>
      <c r="AR188" s="7" t="str">
        <f t="shared" si="211"/>
        <v>A</v>
      </c>
      <c r="AS188" s="8">
        <f t="shared" si="212"/>
        <v>7</v>
      </c>
      <c r="AT188" s="8">
        <f t="shared" si="213"/>
        <v>14</v>
      </c>
      <c r="AU188" s="13">
        <f>IF(OR(UPPER(TRIM(AC188))="AB", AC188=901, AC188="901"), 0, IF(ISNUMBER(MATCH(UPPER(TRIM(AC188)), {"A+","A","B+","B","C","D","P"}, 0)), 2, 0))</f>
        <v>2</v>
      </c>
      <c r="AV188" s="13">
        <f t="shared" si="214"/>
        <v>34</v>
      </c>
      <c r="AW188">
        <f t="shared" si="215"/>
        <v>34</v>
      </c>
      <c r="AX188" s="1">
        <f t="shared" si="216"/>
        <v>68</v>
      </c>
      <c r="AY188" s="13">
        <f t="shared" si="220"/>
        <v>373</v>
      </c>
    </row>
    <row r="189" spans="1:51">
      <c r="A189" s="7">
        <v>5100571</v>
      </c>
      <c r="B189" s="7"/>
      <c r="C189" s="33" t="s">
        <v>79</v>
      </c>
      <c r="D189" s="1" t="s">
        <v>47</v>
      </c>
      <c r="E189" s="3">
        <v>1</v>
      </c>
      <c r="F189" s="1" t="s">
        <v>48</v>
      </c>
      <c r="G189" s="1">
        <v>2511515</v>
      </c>
      <c r="H189" s="2" t="s">
        <v>57</v>
      </c>
      <c r="I189" s="5" t="s">
        <v>50</v>
      </c>
      <c r="J189" s="1">
        <v>14</v>
      </c>
      <c r="K189" s="13" t="str">
        <f t="shared" si="217"/>
        <v>P</v>
      </c>
      <c r="L189" s="1">
        <v>16</v>
      </c>
      <c r="M189" s="13" t="str">
        <f t="shared" si="218"/>
        <v>P</v>
      </c>
      <c r="AB189" s="7" t="str">
        <f t="shared" si="209"/>
        <v>30</v>
      </c>
      <c r="AC189" s="13" t="str">
        <f t="shared" si="210"/>
        <v>B+</v>
      </c>
      <c r="AD189" s="13" t="str">
        <f t="shared" si="221"/>
        <v>373</v>
      </c>
      <c r="AE189" s="1">
        <v>550</v>
      </c>
      <c r="AF189" s="15">
        <f t="shared" si="219"/>
        <v>67.818181818181827</v>
      </c>
      <c r="AG189" s="13" t="str">
        <f t="shared" si="219"/>
        <v>PASS</v>
      </c>
      <c r="AI189" s="1">
        <v>22</v>
      </c>
      <c r="AJ189" s="15">
        <f t="shared" si="222"/>
        <v>20</v>
      </c>
      <c r="AK189" s="16">
        <f t="shared" si="222"/>
        <v>158</v>
      </c>
      <c r="AL189" s="7">
        <f t="shared" si="222"/>
        <v>7.18</v>
      </c>
      <c r="AR189" s="7" t="str">
        <f t="shared" si="211"/>
        <v>A</v>
      </c>
      <c r="AS189" s="8">
        <f t="shared" si="212"/>
        <v>7</v>
      </c>
      <c r="AT189" s="8">
        <f t="shared" si="213"/>
        <v>14</v>
      </c>
      <c r="AU189" s="13">
        <f>IF(OR(UPPER(TRIM(AC189))="AB", AC189=901, AC189="901"), 0, IF(ISNUMBER(MATCH(UPPER(TRIM(AC189)), {"A+","A","B+","B","C","D","P"}, 0)), 2, 0))</f>
        <v>2</v>
      </c>
      <c r="AV189" s="13">
        <f t="shared" si="214"/>
        <v>30</v>
      </c>
      <c r="AW189">
        <f t="shared" si="215"/>
        <v>30</v>
      </c>
      <c r="AX189" s="1">
        <f t="shared" si="216"/>
        <v>60</v>
      </c>
      <c r="AY189" s="13">
        <f t="shared" si="220"/>
        <v>373</v>
      </c>
    </row>
    <row r="190" spans="1:51">
      <c r="A190" s="7">
        <v>5100571</v>
      </c>
      <c r="B190" s="7"/>
      <c r="C190" s="33" t="s">
        <v>79</v>
      </c>
      <c r="D190" s="1" t="s">
        <v>47</v>
      </c>
      <c r="E190" s="3">
        <v>1</v>
      </c>
      <c r="F190" s="1" t="s">
        <v>48</v>
      </c>
      <c r="G190" s="1">
        <v>2521615</v>
      </c>
      <c r="H190" s="4" t="s">
        <v>58</v>
      </c>
      <c r="I190" s="5" t="s">
        <v>50</v>
      </c>
      <c r="J190" s="1">
        <v>20</v>
      </c>
      <c r="K190" s="13" t="str">
        <f t="shared" si="217"/>
        <v>P</v>
      </c>
      <c r="L190" s="1">
        <v>15</v>
      </c>
      <c r="M190" s="13" t="str">
        <f t="shared" si="218"/>
        <v>P</v>
      </c>
      <c r="AB190" s="7" t="str">
        <f t="shared" si="209"/>
        <v>35</v>
      </c>
      <c r="AC190" s="13" t="str">
        <f t="shared" si="210"/>
        <v>A</v>
      </c>
      <c r="AD190" s="13" t="str">
        <f t="shared" si="221"/>
        <v>373</v>
      </c>
      <c r="AE190" s="1">
        <v>550</v>
      </c>
      <c r="AF190" s="15">
        <f t="shared" si="219"/>
        <v>67.818181818181827</v>
      </c>
      <c r="AG190" s="13" t="str">
        <f t="shared" si="219"/>
        <v>PASS</v>
      </c>
      <c r="AI190" s="1">
        <v>22</v>
      </c>
      <c r="AJ190" s="15">
        <f t="shared" si="222"/>
        <v>20</v>
      </c>
      <c r="AK190" s="16">
        <f t="shared" si="222"/>
        <v>158</v>
      </c>
      <c r="AL190" s="7">
        <f t="shared" si="222"/>
        <v>7.18</v>
      </c>
      <c r="AR190" s="7" t="str">
        <f t="shared" si="211"/>
        <v>A</v>
      </c>
      <c r="AS190" s="8">
        <f t="shared" si="212"/>
        <v>8</v>
      </c>
      <c r="AT190" s="8">
        <f t="shared" si="213"/>
        <v>16</v>
      </c>
      <c r="AU190" s="13">
        <f>IF(OR(UPPER(TRIM(AC190))="AB", AC190=901, AC190="901"), 0, IF(ISNUMBER(MATCH(UPPER(TRIM(AC190)), {"A+","A","B+","B","C","D","P"}, 0)), 2, 0))</f>
        <v>2</v>
      </c>
      <c r="AV190" s="13">
        <f t="shared" si="214"/>
        <v>35</v>
      </c>
      <c r="AW190">
        <f t="shared" si="215"/>
        <v>35</v>
      </c>
      <c r="AX190" s="1">
        <f t="shared" si="216"/>
        <v>70</v>
      </c>
      <c r="AY190" s="13">
        <f t="shared" si="220"/>
        <v>373</v>
      </c>
    </row>
    <row r="191" spans="1:51">
      <c r="A191" s="7">
        <v>5100571</v>
      </c>
      <c r="B191" s="7"/>
      <c r="C191" s="33" t="s">
        <v>79</v>
      </c>
      <c r="D191" s="1" t="s">
        <v>47</v>
      </c>
      <c r="E191" s="3">
        <v>1</v>
      </c>
      <c r="F191" s="1" t="s">
        <v>48</v>
      </c>
      <c r="G191" s="1">
        <v>2531511</v>
      </c>
      <c r="H191" s="2" t="s">
        <v>59</v>
      </c>
      <c r="I191" s="5" t="s">
        <v>50</v>
      </c>
      <c r="J191" s="1">
        <v>14</v>
      </c>
      <c r="K191" s="13" t="str">
        <f t="shared" si="217"/>
        <v>P</v>
      </c>
      <c r="L191" s="1">
        <v>13</v>
      </c>
      <c r="M191" s="13" t="str">
        <f t="shared" si="218"/>
        <v>P</v>
      </c>
      <c r="AB191" s="7" t="str">
        <f t="shared" si="209"/>
        <v>27</v>
      </c>
      <c r="AC191" s="13" t="str">
        <f t="shared" si="210"/>
        <v>C</v>
      </c>
      <c r="AD191" s="13" t="str">
        <f t="shared" si="221"/>
        <v>373</v>
      </c>
      <c r="AE191" s="1">
        <v>550</v>
      </c>
      <c r="AF191" s="15">
        <f t="shared" si="219"/>
        <v>67.818181818181827</v>
      </c>
      <c r="AG191" s="13" t="str">
        <f t="shared" si="219"/>
        <v>PASS</v>
      </c>
      <c r="AI191" s="1">
        <v>22</v>
      </c>
      <c r="AJ191" s="15">
        <f t="shared" si="222"/>
        <v>20</v>
      </c>
      <c r="AK191" s="16">
        <f t="shared" si="222"/>
        <v>158</v>
      </c>
      <c r="AL191" s="7">
        <f t="shared" si="222"/>
        <v>7.18</v>
      </c>
      <c r="AR191" s="7" t="str">
        <f t="shared" si="211"/>
        <v>A</v>
      </c>
      <c r="AS191" s="8">
        <f t="shared" si="212"/>
        <v>5</v>
      </c>
      <c r="AT191" s="8">
        <f t="shared" si="213"/>
        <v>10</v>
      </c>
      <c r="AU191" s="13">
        <f>IF(OR(UPPER(TRIM(AC191))="AB", AC191=901, AC191="901"), 0, IF(ISNUMBER(MATCH(UPPER(TRIM(AC191)), {"A+","A","B+","B","C","D","P"}, 0)), 2, 0))</f>
        <v>2</v>
      </c>
      <c r="AV191" s="13">
        <f t="shared" si="214"/>
        <v>27</v>
      </c>
      <c r="AW191">
        <f t="shared" si="215"/>
        <v>27</v>
      </c>
      <c r="AX191" s="1">
        <f t="shared" si="216"/>
        <v>54</v>
      </c>
      <c r="AY191" s="13">
        <f t="shared" si="220"/>
        <v>373</v>
      </c>
    </row>
    <row r="192" spans="1:51">
      <c r="A192" s="7">
        <v>5100571</v>
      </c>
      <c r="B192" s="7"/>
      <c r="C192" s="33" t="s">
        <v>79</v>
      </c>
      <c r="D192" s="1" t="s">
        <v>47</v>
      </c>
      <c r="E192" s="3">
        <v>1</v>
      </c>
      <c r="F192" s="1" t="s">
        <v>48</v>
      </c>
      <c r="G192" s="1">
        <v>2541515</v>
      </c>
      <c r="H192" s="2" t="s">
        <v>60</v>
      </c>
      <c r="I192" s="5" t="s">
        <v>50</v>
      </c>
      <c r="J192" s="1">
        <v>19</v>
      </c>
      <c r="K192" s="13" t="str">
        <f t="shared" si="217"/>
        <v>P</v>
      </c>
      <c r="L192" s="6">
        <v>13</v>
      </c>
      <c r="M192" s="13" t="str">
        <f t="shared" si="218"/>
        <v>P</v>
      </c>
      <c r="AB192" s="7" t="str">
        <f t="shared" si="209"/>
        <v>32</v>
      </c>
      <c r="AC192" s="13" t="str">
        <f t="shared" si="210"/>
        <v>B+</v>
      </c>
      <c r="AD192" s="13" t="str">
        <f t="shared" si="221"/>
        <v>373</v>
      </c>
      <c r="AE192" s="1">
        <v>550</v>
      </c>
      <c r="AF192" s="15">
        <f t="shared" si="219"/>
        <v>67.818181818181827</v>
      </c>
      <c r="AG192" s="13" t="str">
        <f t="shared" si="219"/>
        <v>PASS</v>
      </c>
      <c r="AI192" s="1">
        <v>22</v>
      </c>
      <c r="AJ192" s="15">
        <f t="shared" si="222"/>
        <v>20</v>
      </c>
      <c r="AK192" s="16">
        <f t="shared" si="222"/>
        <v>158</v>
      </c>
      <c r="AL192" s="7">
        <f t="shared" si="222"/>
        <v>7.18</v>
      </c>
      <c r="AR192" s="7" t="str">
        <f t="shared" si="211"/>
        <v>A</v>
      </c>
      <c r="AS192" s="8">
        <f t="shared" si="212"/>
        <v>7</v>
      </c>
      <c r="AT192" s="8">
        <f t="shared" si="213"/>
        <v>14</v>
      </c>
      <c r="AU192" s="13">
        <f>IF(OR(UPPER(TRIM(AC192))="AB", AC192=901, AC192="901"), 0, IF(ISNUMBER(MATCH(UPPER(TRIM(AC192)), {"A+","A","B+","B","C","D","P"}, 0)), 2, 0))</f>
        <v>2</v>
      </c>
      <c r="AV192" s="13">
        <f t="shared" si="214"/>
        <v>32</v>
      </c>
      <c r="AW192">
        <f t="shared" si="215"/>
        <v>32</v>
      </c>
      <c r="AX192" s="1">
        <f t="shared" si="216"/>
        <v>64</v>
      </c>
      <c r="AY192" s="13">
        <f t="shared" si="220"/>
        <v>373</v>
      </c>
    </row>
    <row r="194" spans="1:51">
      <c r="A194" s="7">
        <v>5300896</v>
      </c>
      <c r="B194" s="7"/>
      <c r="C194" s="33" t="s">
        <v>80</v>
      </c>
      <c r="D194" s="1" t="s">
        <v>47</v>
      </c>
      <c r="E194" s="3">
        <v>1</v>
      </c>
      <c r="F194" s="1" t="s">
        <v>48</v>
      </c>
      <c r="G194" s="1">
        <v>1011312</v>
      </c>
      <c r="H194" s="2" t="s">
        <v>49</v>
      </c>
      <c r="I194" s="5" t="s">
        <v>50</v>
      </c>
      <c r="J194" s="6">
        <v>19</v>
      </c>
      <c r="K194" s="13" t="str">
        <f>IF(OR(UPPER(TRIM(J194))="AB",J194=901,J194="901"),"F",IF(J194&gt;=8,"P","F"))</f>
        <v>P</v>
      </c>
      <c r="L194" s="1">
        <v>27</v>
      </c>
      <c r="M194" s="13" t="str">
        <f>IF(OR(UPPER(TRIM(L194))="AB",L194=901,L194="901"),"F",IF(L194&gt;=8,"P","F"))</f>
        <v>P</v>
      </c>
      <c r="N194" s="13"/>
      <c r="O194" s="13"/>
      <c r="P194" s="13"/>
      <c r="Q194" s="13"/>
      <c r="R194" s="13"/>
      <c r="S194" s="13"/>
      <c r="T194" s="13"/>
      <c r="U194" s="13"/>
      <c r="V194" s="13"/>
      <c r="W194" s="13"/>
      <c r="X194" s="13"/>
      <c r="Y194" s="13"/>
      <c r="Z194" s="13"/>
      <c r="AB194" s="7" t="str">
        <f t="shared" ref="AB194:AB204" si="223">AV194 &amp; IF(AA194&lt;&gt;"", " @ " &amp; AA194, "")</f>
        <v>46</v>
      </c>
      <c r="AC194" s="13" t="str">
        <f t="shared" ref="AC194:AC204" si="224">IF(AX194&gt;=90,"O",
IF(AX194&gt;=80,"A+",
IF(AX194&gt;=70,"A",
IF(AX194&gt;=60,"B+",
IF(AX194&gt;=55,"B",
IF(AX194&gt;=50,"C",
IF(AX194&gt;=40,"D","F")))))))</f>
        <v>O</v>
      </c>
      <c r="AD194" s="13" t="str">
        <f>SUM(AV194:AV204) &amp; IF(SUM(AA194:AA204)&gt;0, " @ " &amp; SUM(AA194:AA204), "")</f>
        <v>332</v>
      </c>
      <c r="AE194" s="1">
        <v>550</v>
      </c>
      <c r="AF194" s="15">
        <f>AY194/AE194*100</f>
        <v>60.363636363636367</v>
      </c>
      <c r="AG194" s="13" t="str" cm="1">
        <f t="array" ref="AG194">IF(
  SUMPRODUCT(--(IFERROR(VALUE(J194:J204),9999)&lt;8))
  + SUMPRODUCT(--(IFERROR(VALUE(L194:L204),9999)&lt;12))
  + COUNTIF(J194:J204,"AB") + COUNTIF(L194:L204,"AB")
  + COUNTIF(J194:J204,901) + COUNTIF(L194:L204,901) &gt; 0,
  "ATKT",
  "PASS"
)</f>
        <v>ATKT</v>
      </c>
      <c r="AI194" s="1">
        <v>22</v>
      </c>
      <c r="AJ194" s="15">
        <f>SUM(AU194:AU204)</f>
        <v>16</v>
      </c>
      <c r="AK194" s="16">
        <f>SUM(AT194:AT204)</f>
        <v>120</v>
      </c>
      <c r="AL194" s="7">
        <f>IF(UPPER(TRIM(AG194))="ATKT",0,ROUND( (SUM(AT194:AT204) /22), 2))</f>
        <v>0</v>
      </c>
      <c r="AR194" s="7" t="str">
        <f t="shared" ref="AR194:AR204" si="225">IF(AL194&gt;=9,"O", IF(AL194&gt;=8,"A+", IF(AL194&gt;=7,"A", IF(AL194&gt;=6,"B+", IF(AL194&gt;=5.5,"B", IF(AL194&gt;=5,"C", IF(AL194&gt;=4,"D","F")))))))</f>
        <v>F</v>
      </c>
      <c r="AS194" s="8">
        <f t="shared" ref="AS194:AS204" si="226">IF(AX194&gt;=90,10,
IF(AX194&gt;=80,9,
IF(AX194&gt;=70,8,
IF(AX194&gt;=60,7,
IF(AX194&gt;=55,6,
IF(AX194&gt;=50,5,
IF(AX194&gt;=40,4,0)))))))</f>
        <v>10</v>
      </c>
      <c r="AT194" s="8">
        <f t="shared" ref="AT194:AT204" si="227">AS194*I194</f>
        <v>20</v>
      </c>
      <c r="AU194" s="13">
        <f>IF(OR(UPPER(TRIM(AC194))="AB", AC194=901, AC194="901"), 0, IF(ISNUMBER(MATCH(UPPER(TRIM(AC194)), {"A+","A","B+","B","C","D","P"}, 0)), 2, 0))</f>
        <v>0</v>
      </c>
      <c r="AV194" s="13">
        <f t="shared" ref="AV194:AV204" si="228">SUM(
IF(OR(UPPER(TRIM(J194))="AB",J194=901,J194="901"),0,IFERROR(VALUE(J194),0)),
IF(OR(UPPER(TRIM(L194))="AB",L194=901,L194="901"),0,IFERROR(VALUE(L194),0)),
IF(OR(UPPER(TRIM(N194))="AB",N194=901,N194="901"),0,IFERROR(VALUE(N194),0))
)</f>
        <v>46</v>
      </c>
      <c r="AW194">
        <f t="shared" ref="AW194:AW204" si="229">AA194+AV194</f>
        <v>46</v>
      </c>
      <c r="AX194" s="1">
        <f t="shared" ref="AX194:AX204" si="230">(AW194 / 50) * 100</f>
        <v>92</v>
      </c>
      <c r="AY194" s="13">
        <f>SUM(AW194:AW204)</f>
        <v>332</v>
      </c>
    </row>
    <row r="195" spans="1:51">
      <c r="A195" s="7">
        <v>5300896</v>
      </c>
      <c r="B195" s="7"/>
      <c r="C195" s="33" t="s">
        <v>80</v>
      </c>
      <c r="D195" s="1" t="s">
        <v>47</v>
      </c>
      <c r="E195" s="3">
        <v>1</v>
      </c>
      <c r="F195" s="1" t="s">
        <v>48</v>
      </c>
      <c r="G195" s="1">
        <v>1171312</v>
      </c>
      <c r="H195" s="2" t="s">
        <v>51</v>
      </c>
      <c r="I195" s="5" t="s">
        <v>50</v>
      </c>
      <c r="J195" s="1">
        <v>18</v>
      </c>
      <c r="K195" s="13" t="str">
        <f t="shared" ref="K195:K204" si="231">IF(OR(UPPER(TRIM(J195))="AB",J195=901,J195="901"),"F",IF(J195&gt;=8,"P","F"))</f>
        <v>P</v>
      </c>
      <c r="L195" s="1">
        <v>0</v>
      </c>
      <c r="M195" s="13" t="str">
        <f t="shared" ref="M195:M204" si="232">IF(OR(UPPER(TRIM(L195))="AB",L195=901,L195="901"),"F",IF(L195&gt;=8,"P","F"))</f>
        <v>F</v>
      </c>
      <c r="AB195" s="7" t="str">
        <f t="shared" si="223"/>
        <v>18</v>
      </c>
      <c r="AC195" s="13" t="str">
        <f t="shared" si="224"/>
        <v>F</v>
      </c>
      <c r="AD195" s="13" t="str">
        <f>AD194</f>
        <v>332</v>
      </c>
      <c r="AE195" s="1">
        <v>550</v>
      </c>
      <c r="AF195" s="15">
        <f t="shared" ref="AF195:AG204" si="233">AF194</f>
        <v>60.363636363636367</v>
      </c>
      <c r="AG195" s="13" t="str">
        <f t="shared" si="233"/>
        <v>ATKT</v>
      </c>
      <c r="AI195" s="1">
        <v>22</v>
      </c>
      <c r="AJ195" s="15">
        <f>AJ194</f>
        <v>16</v>
      </c>
      <c r="AK195" s="16">
        <f>AK194</f>
        <v>120</v>
      </c>
      <c r="AL195" s="7">
        <f>AL194</f>
        <v>0</v>
      </c>
      <c r="AR195" s="7" t="str">
        <f t="shared" si="225"/>
        <v>F</v>
      </c>
      <c r="AS195" s="8">
        <f t="shared" si="226"/>
        <v>0</v>
      </c>
      <c r="AT195" s="8">
        <f t="shared" si="227"/>
        <v>0</v>
      </c>
      <c r="AU195" s="13">
        <f>IF(OR(UPPER(TRIM(AC195))="AB", AC195=901, AC195="901"), 0, IF(ISNUMBER(MATCH(UPPER(TRIM(AC195)), {"A+","A","B+","B","C","D","P"}, 0)), 2, 0))</f>
        <v>0</v>
      </c>
      <c r="AV195" s="13">
        <f t="shared" si="228"/>
        <v>18</v>
      </c>
      <c r="AW195">
        <f t="shared" si="229"/>
        <v>18</v>
      </c>
      <c r="AX195" s="1">
        <f t="shared" si="230"/>
        <v>36</v>
      </c>
      <c r="AY195" s="13">
        <f t="shared" ref="AY195:AY204" si="234">AY194</f>
        <v>332</v>
      </c>
    </row>
    <row r="196" spans="1:51">
      <c r="A196" s="7">
        <v>5300896</v>
      </c>
      <c r="B196" s="7"/>
      <c r="C196" s="33" t="s">
        <v>80</v>
      </c>
      <c r="D196" s="1" t="s">
        <v>47</v>
      </c>
      <c r="E196" s="3">
        <v>1</v>
      </c>
      <c r="F196" s="1" t="s">
        <v>48</v>
      </c>
      <c r="G196" s="1">
        <v>1461111</v>
      </c>
      <c r="H196" s="2" t="s">
        <v>52</v>
      </c>
      <c r="I196" s="5" t="s">
        <v>50</v>
      </c>
      <c r="J196" s="1">
        <v>15</v>
      </c>
      <c r="K196" s="13" t="str">
        <f t="shared" si="231"/>
        <v>P</v>
      </c>
      <c r="L196" s="1">
        <v>12</v>
      </c>
      <c r="M196" s="13" t="str">
        <f t="shared" si="232"/>
        <v>P</v>
      </c>
      <c r="AB196" s="7" t="str">
        <f t="shared" si="223"/>
        <v>27</v>
      </c>
      <c r="AC196" s="13" t="str">
        <f t="shared" si="224"/>
        <v>C</v>
      </c>
      <c r="AD196" s="13" t="str">
        <f t="shared" ref="AD196:AD204" si="235">AD195</f>
        <v>332</v>
      </c>
      <c r="AE196" s="1">
        <v>550</v>
      </c>
      <c r="AF196" s="15">
        <f t="shared" si="233"/>
        <v>60.363636363636367</v>
      </c>
      <c r="AG196" s="13" t="str">
        <f t="shared" si="233"/>
        <v>ATKT</v>
      </c>
      <c r="AI196" s="1">
        <v>22</v>
      </c>
      <c r="AJ196" s="15">
        <f t="shared" ref="AJ196:AL204" si="236">AJ195</f>
        <v>16</v>
      </c>
      <c r="AK196" s="16">
        <f t="shared" si="236"/>
        <v>120</v>
      </c>
      <c r="AL196" s="7">
        <f t="shared" si="236"/>
        <v>0</v>
      </c>
      <c r="AR196" s="7" t="str">
        <f t="shared" si="225"/>
        <v>F</v>
      </c>
      <c r="AS196" s="8">
        <f t="shared" si="226"/>
        <v>5</v>
      </c>
      <c r="AT196" s="8">
        <f t="shared" si="227"/>
        <v>10</v>
      </c>
      <c r="AU196" s="13">
        <f>IF(OR(UPPER(TRIM(AC196))="AB", AC196=901, AC196="901"), 0, IF(ISNUMBER(MATCH(UPPER(TRIM(AC196)), {"A+","A","B+","B","C","D","P"}, 0)), 2, 0))</f>
        <v>2</v>
      </c>
      <c r="AV196" s="13">
        <f t="shared" si="228"/>
        <v>27</v>
      </c>
      <c r="AW196">
        <f t="shared" si="229"/>
        <v>27</v>
      </c>
      <c r="AX196" s="1">
        <f t="shared" si="230"/>
        <v>54</v>
      </c>
      <c r="AY196" s="13">
        <f t="shared" si="234"/>
        <v>332</v>
      </c>
    </row>
    <row r="197" spans="1:51">
      <c r="A197" s="7">
        <v>5300896</v>
      </c>
      <c r="B197" s="7"/>
      <c r="C197" s="33" t="s">
        <v>80</v>
      </c>
      <c r="D197" s="1" t="s">
        <v>47</v>
      </c>
      <c r="E197" s="3">
        <v>1</v>
      </c>
      <c r="F197" s="1" t="s">
        <v>48</v>
      </c>
      <c r="G197" s="1">
        <v>1461112</v>
      </c>
      <c r="H197" s="2" t="s">
        <v>53</v>
      </c>
      <c r="I197" s="5" t="s">
        <v>50</v>
      </c>
      <c r="J197" s="1">
        <v>15</v>
      </c>
      <c r="K197" s="13" t="str">
        <f t="shared" si="231"/>
        <v>P</v>
      </c>
      <c r="L197" s="1">
        <v>16</v>
      </c>
      <c r="M197" s="13" t="str">
        <f t="shared" si="232"/>
        <v>P</v>
      </c>
      <c r="AB197" s="7" t="str">
        <f t="shared" si="223"/>
        <v>31</v>
      </c>
      <c r="AC197" s="13" t="str">
        <f t="shared" si="224"/>
        <v>B+</v>
      </c>
      <c r="AD197" s="13" t="str">
        <f t="shared" si="235"/>
        <v>332</v>
      </c>
      <c r="AE197" s="1">
        <v>550</v>
      </c>
      <c r="AF197" s="15">
        <f t="shared" si="233"/>
        <v>60.363636363636367</v>
      </c>
      <c r="AG197" s="13" t="str">
        <f t="shared" si="233"/>
        <v>ATKT</v>
      </c>
      <c r="AI197" s="1">
        <v>22</v>
      </c>
      <c r="AJ197" s="15">
        <f t="shared" si="236"/>
        <v>16</v>
      </c>
      <c r="AK197" s="16">
        <f t="shared" si="236"/>
        <v>120</v>
      </c>
      <c r="AL197" s="7">
        <f t="shared" si="236"/>
        <v>0</v>
      </c>
      <c r="AR197" s="7" t="str">
        <f t="shared" si="225"/>
        <v>F</v>
      </c>
      <c r="AS197" s="8">
        <f t="shared" si="226"/>
        <v>7</v>
      </c>
      <c r="AT197" s="8">
        <f t="shared" si="227"/>
        <v>14</v>
      </c>
      <c r="AU197" s="13">
        <f>IF(OR(UPPER(TRIM(AC197))="AB", AC197=901, AC197="901"), 0, IF(ISNUMBER(MATCH(UPPER(TRIM(AC197)), {"A+","A","B+","B","C","D","P"}, 0)), 2, 0))</f>
        <v>2</v>
      </c>
      <c r="AV197" s="13">
        <f t="shared" si="228"/>
        <v>31</v>
      </c>
      <c r="AW197">
        <f t="shared" si="229"/>
        <v>31</v>
      </c>
      <c r="AX197" s="1">
        <f t="shared" si="230"/>
        <v>62</v>
      </c>
      <c r="AY197" s="13">
        <f t="shared" si="234"/>
        <v>332</v>
      </c>
    </row>
    <row r="198" spans="1:51">
      <c r="A198" s="7">
        <v>5300896</v>
      </c>
      <c r="B198" s="7"/>
      <c r="C198" s="33" t="s">
        <v>80</v>
      </c>
      <c r="D198" s="1" t="s">
        <v>47</v>
      </c>
      <c r="E198" s="3">
        <v>1</v>
      </c>
      <c r="F198" s="1" t="s">
        <v>48</v>
      </c>
      <c r="G198" s="1">
        <v>1461113</v>
      </c>
      <c r="H198" s="2" t="s">
        <v>54</v>
      </c>
      <c r="I198" s="5" t="s">
        <v>50</v>
      </c>
      <c r="J198" s="1">
        <v>19</v>
      </c>
      <c r="K198" s="13" t="str">
        <f t="shared" si="231"/>
        <v>P</v>
      </c>
      <c r="L198" s="1">
        <v>20</v>
      </c>
      <c r="M198" s="13" t="str">
        <f t="shared" si="232"/>
        <v>P</v>
      </c>
      <c r="AB198" s="7" t="str">
        <f t="shared" si="223"/>
        <v>39</v>
      </c>
      <c r="AC198" s="13" t="str">
        <f t="shared" si="224"/>
        <v>A</v>
      </c>
      <c r="AD198" s="13" t="str">
        <f t="shared" si="235"/>
        <v>332</v>
      </c>
      <c r="AE198" s="1">
        <v>550</v>
      </c>
      <c r="AF198" s="15">
        <f t="shared" si="233"/>
        <v>60.363636363636367</v>
      </c>
      <c r="AG198" s="13" t="str">
        <f t="shared" si="233"/>
        <v>ATKT</v>
      </c>
      <c r="AI198" s="1">
        <v>22</v>
      </c>
      <c r="AJ198" s="15">
        <f t="shared" si="236"/>
        <v>16</v>
      </c>
      <c r="AK198" s="16">
        <f t="shared" si="236"/>
        <v>120</v>
      </c>
      <c r="AL198" s="7">
        <f t="shared" si="236"/>
        <v>0</v>
      </c>
      <c r="AR198" s="7" t="str">
        <f t="shared" si="225"/>
        <v>F</v>
      </c>
      <c r="AS198" s="8">
        <f t="shared" si="226"/>
        <v>8</v>
      </c>
      <c r="AT198" s="8">
        <f t="shared" si="227"/>
        <v>16</v>
      </c>
      <c r="AU198" s="13">
        <f>IF(OR(UPPER(TRIM(AC198))="AB", AC198=901, AC198="901"), 0, IF(ISNUMBER(MATCH(UPPER(TRIM(AC198)), {"A+","A","B+","B","C","D","P"}, 0)), 2, 0))</f>
        <v>2</v>
      </c>
      <c r="AV198" s="13">
        <f t="shared" si="228"/>
        <v>39</v>
      </c>
      <c r="AW198">
        <f t="shared" si="229"/>
        <v>39</v>
      </c>
      <c r="AX198" s="1">
        <f t="shared" si="230"/>
        <v>78</v>
      </c>
      <c r="AY198" s="13">
        <f t="shared" si="234"/>
        <v>332</v>
      </c>
    </row>
    <row r="199" spans="1:51">
      <c r="A199" s="7">
        <v>5300896</v>
      </c>
      <c r="B199" s="7"/>
      <c r="C199" s="33" t="s">
        <v>80</v>
      </c>
      <c r="D199" s="1" t="s">
        <v>47</v>
      </c>
      <c r="E199" s="3">
        <v>1</v>
      </c>
      <c r="F199" s="1" t="s">
        <v>48</v>
      </c>
      <c r="G199" s="1">
        <v>1461411</v>
      </c>
      <c r="H199" s="2" t="s">
        <v>55</v>
      </c>
      <c r="I199" s="5" t="s">
        <v>50</v>
      </c>
      <c r="J199" s="1">
        <v>19</v>
      </c>
      <c r="K199" s="13" t="str">
        <f t="shared" si="231"/>
        <v>P</v>
      </c>
      <c r="L199" s="1">
        <v>15</v>
      </c>
      <c r="M199" s="13" t="str">
        <f t="shared" si="232"/>
        <v>P</v>
      </c>
      <c r="AB199" s="7" t="str">
        <f t="shared" si="223"/>
        <v>34</v>
      </c>
      <c r="AC199" s="13" t="str">
        <f t="shared" si="224"/>
        <v>B+</v>
      </c>
      <c r="AD199" s="13" t="str">
        <f t="shared" si="235"/>
        <v>332</v>
      </c>
      <c r="AE199" s="1">
        <v>550</v>
      </c>
      <c r="AF199" s="15">
        <f t="shared" si="233"/>
        <v>60.363636363636367</v>
      </c>
      <c r="AG199" s="13" t="str">
        <f t="shared" si="233"/>
        <v>ATKT</v>
      </c>
      <c r="AI199" s="1">
        <v>22</v>
      </c>
      <c r="AJ199" s="15">
        <f t="shared" si="236"/>
        <v>16</v>
      </c>
      <c r="AK199" s="16">
        <f t="shared" si="236"/>
        <v>120</v>
      </c>
      <c r="AL199" s="7">
        <f t="shared" si="236"/>
        <v>0</v>
      </c>
      <c r="AR199" s="7" t="str">
        <f t="shared" si="225"/>
        <v>F</v>
      </c>
      <c r="AS199" s="8">
        <f t="shared" si="226"/>
        <v>7</v>
      </c>
      <c r="AT199" s="8">
        <f t="shared" si="227"/>
        <v>14</v>
      </c>
      <c r="AU199" s="13">
        <f>IF(OR(UPPER(TRIM(AC199))="AB", AC199=901, AC199="901"), 0, IF(ISNUMBER(MATCH(UPPER(TRIM(AC199)), {"A+","A","B+","B","C","D","P"}, 0)), 2, 0))</f>
        <v>2</v>
      </c>
      <c r="AV199" s="13">
        <f t="shared" si="228"/>
        <v>34</v>
      </c>
      <c r="AW199">
        <f t="shared" si="229"/>
        <v>34</v>
      </c>
      <c r="AX199" s="1">
        <f t="shared" si="230"/>
        <v>68</v>
      </c>
      <c r="AY199" s="13">
        <f t="shared" si="234"/>
        <v>332</v>
      </c>
    </row>
    <row r="200" spans="1:51">
      <c r="A200" s="7">
        <v>5300896</v>
      </c>
      <c r="B200" s="7"/>
      <c r="C200" s="33" t="s">
        <v>80</v>
      </c>
      <c r="D200" s="1" t="s">
        <v>47</v>
      </c>
      <c r="E200" s="3">
        <v>1</v>
      </c>
      <c r="F200" s="1" t="s">
        <v>48</v>
      </c>
      <c r="G200" s="1">
        <v>1461412</v>
      </c>
      <c r="H200" s="2" t="s">
        <v>56</v>
      </c>
      <c r="I200" s="5" t="s">
        <v>50</v>
      </c>
      <c r="J200" s="1">
        <v>15</v>
      </c>
      <c r="K200" s="13" t="str">
        <f t="shared" si="231"/>
        <v>P</v>
      </c>
      <c r="L200" s="1">
        <v>12</v>
      </c>
      <c r="M200" s="13" t="str">
        <f t="shared" si="232"/>
        <v>P</v>
      </c>
      <c r="AB200" s="7" t="str">
        <f t="shared" si="223"/>
        <v>27</v>
      </c>
      <c r="AC200" s="13" t="str">
        <f t="shared" si="224"/>
        <v>C</v>
      </c>
      <c r="AD200" s="13" t="str">
        <f t="shared" si="235"/>
        <v>332</v>
      </c>
      <c r="AE200" s="1">
        <v>550</v>
      </c>
      <c r="AF200" s="15">
        <f t="shared" si="233"/>
        <v>60.363636363636367</v>
      </c>
      <c r="AG200" s="13" t="str">
        <f t="shared" si="233"/>
        <v>ATKT</v>
      </c>
      <c r="AI200" s="1">
        <v>22</v>
      </c>
      <c r="AJ200" s="15">
        <f t="shared" si="236"/>
        <v>16</v>
      </c>
      <c r="AK200" s="16">
        <f t="shared" si="236"/>
        <v>120</v>
      </c>
      <c r="AL200" s="7">
        <f t="shared" si="236"/>
        <v>0</v>
      </c>
      <c r="AR200" s="7" t="str">
        <f t="shared" si="225"/>
        <v>F</v>
      </c>
      <c r="AS200" s="8">
        <f t="shared" si="226"/>
        <v>5</v>
      </c>
      <c r="AT200" s="8">
        <f t="shared" si="227"/>
        <v>10</v>
      </c>
      <c r="AU200" s="13">
        <f>IF(OR(UPPER(TRIM(AC200))="AB", AC200=901, AC200="901"), 0, IF(ISNUMBER(MATCH(UPPER(TRIM(AC200)), {"A+","A","B+","B","C","D","P"}, 0)), 2, 0))</f>
        <v>2</v>
      </c>
      <c r="AV200" s="13">
        <f t="shared" si="228"/>
        <v>27</v>
      </c>
      <c r="AW200">
        <f t="shared" si="229"/>
        <v>27</v>
      </c>
      <c r="AX200" s="1">
        <f t="shared" si="230"/>
        <v>54</v>
      </c>
      <c r="AY200" s="13">
        <f t="shared" si="234"/>
        <v>332</v>
      </c>
    </row>
    <row r="201" spans="1:51">
      <c r="A201" s="7">
        <v>5300896</v>
      </c>
      <c r="B201" s="7"/>
      <c r="C201" s="33" t="s">
        <v>80</v>
      </c>
      <c r="D201" s="1" t="s">
        <v>47</v>
      </c>
      <c r="E201" s="3">
        <v>1</v>
      </c>
      <c r="F201" s="1" t="s">
        <v>48</v>
      </c>
      <c r="G201" s="1">
        <v>2511515</v>
      </c>
      <c r="H201" s="2" t="s">
        <v>57</v>
      </c>
      <c r="I201" s="5" t="s">
        <v>50</v>
      </c>
      <c r="J201" s="1">
        <v>15</v>
      </c>
      <c r="K201" s="13" t="str">
        <f t="shared" si="231"/>
        <v>P</v>
      </c>
      <c r="L201" s="1">
        <v>12</v>
      </c>
      <c r="M201" s="13" t="str">
        <f t="shared" si="232"/>
        <v>P</v>
      </c>
      <c r="AB201" s="7" t="str">
        <f t="shared" si="223"/>
        <v>27</v>
      </c>
      <c r="AC201" s="13" t="str">
        <f t="shared" si="224"/>
        <v>C</v>
      </c>
      <c r="AD201" s="13" t="str">
        <f t="shared" si="235"/>
        <v>332</v>
      </c>
      <c r="AE201" s="1">
        <v>550</v>
      </c>
      <c r="AF201" s="15">
        <f t="shared" si="233"/>
        <v>60.363636363636367</v>
      </c>
      <c r="AG201" s="13" t="str">
        <f t="shared" si="233"/>
        <v>ATKT</v>
      </c>
      <c r="AI201" s="1">
        <v>22</v>
      </c>
      <c r="AJ201" s="15">
        <f t="shared" si="236"/>
        <v>16</v>
      </c>
      <c r="AK201" s="16">
        <f t="shared" si="236"/>
        <v>120</v>
      </c>
      <c r="AL201" s="7">
        <f t="shared" si="236"/>
        <v>0</v>
      </c>
      <c r="AR201" s="7" t="str">
        <f t="shared" si="225"/>
        <v>F</v>
      </c>
      <c r="AS201" s="8">
        <f t="shared" si="226"/>
        <v>5</v>
      </c>
      <c r="AT201" s="8">
        <f t="shared" si="227"/>
        <v>10</v>
      </c>
      <c r="AU201" s="13">
        <f>IF(OR(UPPER(TRIM(AC201))="AB", AC201=901, AC201="901"), 0, IF(ISNUMBER(MATCH(UPPER(TRIM(AC201)), {"A+","A","B+","B","C","D","P"}, 0)), 2, 0))</f>
        <v>2</v>
      </c>
      <c r="AV201" s="13">
        <f t="shared" si="228"/>
        <v>27</v>
      </c>
      <c r="AW201">
        <f t="shared" si="229"/>
        <v>27</v>
      </c>
      <c r="AX201" s="1">
        <f t="shared" si="230"/>
        <v>54</v>
      </c>
      <c r="AY201" s="13">
        <f t="shared" si="234"/>
        <v>332</v>
      </c>
    </row>
    <row r="202" spans="1:51">
      <c r="A202" s="7">
        <v>5300896</v>
      </c>
      <c r="B202" s="7"/>
      <c r="C202" s="33" t="s">
        <v>80</v>
      </c>
      <c r="D202" s="1" t="s">
        <v>47</v>
      </c>
      <c r="E202" s="3">
        <v>1</v>
      </c>
      <c r="F202" s="1" t="s">
        <v>48</v>
      </c>
      <c r="G202" s="1">
        <v>2521615</v>
      </c>
      <c r="H202" s="4" t="s">
        <v>58</v>
      </c>
      <c r="I202" s="5" t="s">
        <v>50</v>
      </c>
      <c r="J202" s="1">
        <v>20</v>
      </c>
      <c r="K202" s="13" t="str">
        <f t="shared" si="231"/>
        <v>P</v>
      </c>
      <c r="L202" s="1">
        <v>18</v>
      </c>
      <c r="M202" s="13" t="str">
        <f t="shared" si="232"/>
        <v>P</v>
      </c>
      <c r="AB202" s="7" t="str">
        <f t="shared" si="223"/>
        <v>38</v>
      </c>
      <c r="AC202" s="13" t="str">
        <f t="shared" si="224"/>
        <v>A</v>
      </c>
      <c r="AD202" s="13" t="str">
        <f t="shared" si="235"/>
        <v>332</v>
      </c>
      <c r="AE202" s="1">
        <v>550</v>
      </c>
      <c r="AF202" s="15">
        <f t="shared" si="233"/>
        <v>60.363636363636367</v>
      </c>
      <c r="AG202" s="13" t="str">
        <f t="shared" si="233"/>
        <v>ATKT</v>
      </c>
      <c r="AI202" s="1">
        <v>22</v>
      </c>
      <c r="AJ202" s="15">
        <f t="shared" si="236"/>
        <v>16</v>
      </c>
      <c r="AK202" s="16">
        <f t="shared" si="236"/>
        <v>120</v>
      </c>
      <c r="AL202" s="7">
        <f t="shared" si="236"/>
        <v>0</v>
      </c>
      <c r="AR202" s="7" t="str">
        <f t="shared" si="225"/>
        <v>F</v>
      </c>
      <c r="AS202" s="8">
        <f t="shared" si="226"/>
        <v>8</v>
      </c>
      <c r="AT202" s="8">
        <f t="shared" si="227"/>
        <v>16</v>
      </c>
      <c r="AU202" s="13">
        <f>IF(OR(UPPER(TRIM(AC202))="AB", AC202=901, AC202="901"), 0, IF(ISNUMBER(MATCH(UPPER(TRIM(AC202)), {"A+","A","B+","B","C","D","P"}, 0)), 2, 0))</f>
        <v>2</v>
      </c>
      <c r="AV202" s="13">
        <f t="shared" si="228"/>
        <v>38</v>
      </c>
      <c r="AW202">
        <f t="shared" si="229"/>
        <v>38</v>
      </c>
      <c r="AX202" s="1">
        <f t="shared" si="230"/>
        <v>76</v>
      </c>
      <c r="AY202" s="13">
        <f t="shared" si="234"/>
        <v>332</v>
      </c>
    </row>
    <row r="203" spans="1:51">
      <c r="A203" s="7">
        <v>5300896</v>
      </c>
      <c r="B203" s="7"/>
      <c r="C203" s="33" t="s">
        <v>80</v>
      </c>
      <c r="D203" s="1" t="s">
        <v>47</v>
      </c>
      <c r="E203" s="3">
        <v>1</v>
      </c>
      <c r="F203" s="1" t="s">
        <v>48</v>
      </c>
      <c r="G203" s="1">
        <v>2531511</v>
      </c>
      <c r="H203" s="2" t="s">
        <v>59</v>
      </c>
      <c r="I203" s="5" t="s">
        <v>50</v>
      </c>
      <c r="J203" s="1">
        <v>14</v>
      </c>
      <c r="K203" s="13" t="str">
        <f t="shared" si="231"/>
        <v>P</v>
      </c>
      <c r="L203" s="1">
        <v>13</v>
      </c>
      <c r="M203" s="13" t="str">
        <f t="shared" si="232"/>
        <v>P</v>
      </c>
      <c r="AB203" s="7" t="str">
        <f t="shared" si="223"/>
        <v>27</v>
      </c>
      <c r="AC203" s="13" t="str">
        <f t="shared" si="224"/>
        <v>C</v>
      </c>
      <c r="AD203" s="13" t="str">
        <f t="shared" si="235"/>
        <v>332</v>
      </c>
      <c r="AE203" s="1">
        <v>550</v>
      </c>
      <c r="AF203" s="15">
        <f t="shared" si="233"/>
        <v>60.363636363636367</v>
      </c>
      <c r="AG203" s="13" t="str">
        <f t="shared" si="233"/>
        <v>ATKT</v>
      </c>
      <c r="AI203" s="1">
        <v>22</v>
      </c>
      <c r="AJ203" s="15">
        <f t="shared" si="236"/>
        <v>16</v>
      </c>
      <c r="AK203" s="16">
        <f t="shared" si="236"/>
        <v>120</v>
      </c>
      <c r="AL203" s="7">
        <f t="shared" si="236"/>
        <v>0</v>
      </c>
      <c r="AR203" s="7" t="str">
        <f t="shared" si="225"/>
        <v>F</v>
      </c>
      <c r="AS203" s="8">
        <f t="shared" si="226"/>
        <v>5</v>
      </c>
      <c r="AT203" s="8">
        <f t="shared" si="227"/>
        <v>10</v>
      </c>
      <c r="AU203" s="13">
        <f>IF(OR(UPPER(TRIM(AC203))="AB", AC203=901, AC203="901"), 0, IF(ISNUMBER(MATCH(UPPER(TRIM(AC203)), {"A+","A","B+","B","C","D","P"}, 0)), 2, 0))</f>
        <v>2</v>
      </c>
      <c r="AV203" s="13">
        <f t="shared" si="228"/>
        <v>27</v>
      </c>
      <c r="AW203">
        <f t="shared" si="229"/>
        <v>27</v>
      </c>
      <c r="AX203" s="1">
        <f t="shared" si="230"/>
        <v>54</v>
      </c>
      <c r="AY203" s="13">
        <f t="shared" si="234"/>
        <v>332</v>
      </c>
    </row>
    <row r="204" spans="1:51">
      <c r="A204" s="7">
        <v>5300896</v>
      </c>
      <c r="B204" s="7"/>
      <c r="C204" s="33" t="s">
        <v>80</v>
      </c>
      <c r="D204" s="1" t="s">
        <v>47</v>
      </c>
      <c r="E204" s="3">
        <v>1</v>
      </c>
      <c r="F204" s="1" t="s">
        <v>48</v>
      </c>
      <c r="G204" s="1">
        <v>2541515</v>
      </c>
      <c r="H204" s="2" t="s">
        <v>60</v>
      </c>
      <c r="I204" s="5" t="s">
        <v>50</v>
      </c>
      <c r="J204" s="1">
        <v>18</v>
      </c>
      <c r="K204" s="13" t="str">
        <f t="shared" si="231"/>
        <v>P</v>
      </c>
      <c r="L204" s="6">
        <v>0</v>
      </c>
      <c r="M204" s="13" t="str">
        <f t="shared" si="232"/>
        <v>F</v>
      </c>
      <c r="AB204" s="7" t="str">
        <f t="shared" si="223"/>
        <v>18</v>
      </c>
      <c r="AC204" s="13" t="str">
        <f t="shared" si="224"/>
        <v>F</v>
      </c>
      <c r="AD204" s="13" t="str">
        <f t="shared" si="235"/>
        <v>332</v>
      </c>
      <c r="AE204" s="1">
        <v>550</v>
      </c>
      <c r="AF204" s="15">
        <f t="shared" si="233"/>
        <v>60.363636363636367</v>
      </c>
      <c r="AG204" s="13" t="str">
        <f t="shared" si="233"/>
        <v>ATKT</v>
      </c>
      <c r="AI204" s="1">
        <v>22</v>
      </c>
      <c r="AJ204" s="15">
        <f t="shared" si="236"/>
        <v>16</v>
      </c>
      <c r="AK204" s="16">
        <f t="shared" si="236"/>
        <v>120</v>
      </c>
      <c r="AL204" s="7">
        <f t="shared" si="236"/>
        <v>0</v>
      </c>
      <c r="AR204" s="7" t="str">
        <f t="shared" si="225"/>
        <v>F</v>
      </c>
      <c r="AS204" s="8">
        <f t="shared" si="226"/>
        <v>0</v>
      </c>
      <c r="AT204" s="8">
        <f t="shared" si="227"/>
        <v>0</v>
      </c>
      <c r="AU204" s="13">
        <f>IF(OR(UPPER(TRIM(AC204))="AB", AC204=901, AC204="901"), 0, IF(ISNUMBER(MATCH(UPPER(TRIM(AC204)), {"A+","A","B+","B","C","D","P"}, 0)), 2, 0))</f>
        <v>0</v>
      </c>
      <c r="AV204" s="13">
        <f t="shared" si="228"/>
        <v>18</v>
      </c>
      <c r="AW204">
        <f t="shared" si="229"/>
        <v>18</v>
      </c>
      <c r="AX204" s="1">
        <f t="shared" si="230"/>
        <v>36</v>
      </c>
      <c r="AY204" s="13">
        <f t="shared" si="234"/>
        <v>332</v>
      </c>
    </row>
    <row r="206" spans="1:51">
      <c r="A206" s="7">
        <v>5089274</v>
      </c>
      <c r="B206" s="7"/>
      <c r="C206" s="33" t="s">
        <v>81</v>
      </c>
      <c r="D206" s="1" t="s">
        <v>47</v>
      </c>
      <c r="E206" s="3">
        <v>1</v>
      </c>
      <c r="F206" s="1" t="s">
        <v>48</v>
      </c>
      <c r="G206" s="1">
        <v>1011312</v>
      </c>
      <c r="H206" s="2" t="s">
        <v>49</v>
      </c>
      <c r="I206" s="5" t="s">
        <v>50</v>
      </c>
      <c r="J206" s="6">
        <v>15</v>
      </c>
      <c r="K206" s="13" t="str">
        <f>IF(OR(UPPER(TRIM(J206))="AB",J206=901,J206="901"),"F",IF(J206&gt;=8,"P","F"))</f>
        <v>P</v>
      </c>
      <c r="L206" s="1">
        <v>15</v>
      </c>
      <c r="M206" s="13" t="str">
        <f>IF(OR(UPPER(TRIM(L206))="AB",L206=901,L206="901"),"F",IF(L206&gt;=8,"P","F"))</f>
        <v>P</v>
      </c>
      <c r="N206" s="13"/>
      <c r="O206" s="13"/>
      <c r="P206" s="13"/>
      <c r="Q206" s="13"/>
      <c r="R206" s="13"/>
      <c r="S206" s="13"/>
      <c r="T206" s="13"/>
      <c r="U206" s="13"/>
      <c r="V206" s="13"/>
      <c r="W206" s="13"/>
      <c r="X206" s="13"/>
      <c r="Y206" s="13"/>
      <c r="Z206" s="13"/>
      <c r="AB206" s="7" t="str">
        <f t="shared" ref="AB206:AB216" si="237">AV206 &amp; IF(AA206&lt;&gt;"", " @ " &amp; AA206, "")</f>
        <v>30</v>
      </c>
      <c r="AC206" s="13" t="str">
        <f t="shared" ref="AC206:AC216" si="238">IF(AX206&gt;=90,"O",
IF(AX206&gt;=80,"A+",
IF(AX206&gt;=70,"A",
IF(AX206&gt;=60,"B+",
IF(AX206&gt;=55,"B",
IF(AX206&gt;=50,"C",
IF(AX206&gt;=40,"D","F")))))))</f>
        <v>B+</v>
      </c>
      <c r="AD206" s="13" t="str">
        <f>SUM(AV206:AV216) &amp; IF(SUM(AA206:AA216)&gt;0, " @ " &amp; SUM(AA206:AA216), "")</f>
        <v>229</v>
      </c>
      <c r="AE206" s="1">
        <v>550</v>
      </c>
      <c r="AF206" s="15">
        <f>AY206/AE206*100</f>
        <v>41.63636363636364</v>
      </c>
      <c r="AG206" s="13" t="str" cm="1">
        <f t="array" ref="AG206">IF(
  SUMPRODUCT(--(IFERROR(VALUE(J206:J216),9999)&lt;8))
  + SUMPRODUCT(--(IFERROR(VALUE(L206:L216),9999)&lt;12))
  + COUNTIF(J206:J216,"AB") + COUNTIF(L206:L216,"AB")
  + COUNTIF(J206:J216,901) + COUNTIF(L206:L216,901) &gt; 0,
  "ATKT",
  "PASS"
)</f>
        <v>ATKT</v>
      </c>
      <c r="AI206" s="1">
        <v>22</v>
      </c>
      <c r="AJ206" s="15">
        <f>SUM(AU206:AU216)</f>
        <v>12</v>
      </c>
      <c r="AK206" s="16">
        <f>SUM(AT206:AT216)</f>
        <v>62</v>
      </c>
      <c r="AL206" s="7">
        <f>IF(UPPER(TRIM(AG206))="ATKT",0,ROUND( (SUM(AT206:AT216) /22), 2))</f>
        <v>0</v>
      </c>
      <c r="AR206" s="7" t="str">
        <f t="shared" ref="AR206:AR216" si="239">IF(AL206&gt;=9,"O", IF(AL206&gt;=8,"A+", IF(AL206&gt;=7,"A", IF(AL206&gt;=6,"B+", IF(AL206&gt;=5.5,"B", IF(AL206&gt;=5,"C", IF(AL206&gt;=4,"D","F")))))))</f>
        <v>F</v>
      </c>
      <c r="AS206" s="8">
        <f t="shared" ref="AS206:AS216" si="240">IF(AX206&gt;=90,10,
IF(AX206&gt;=80,9,
IF(AX206&gt;=70,8,
IF(AX206&gt;=60,7,
IF(AX206&gt;=55,6,
IF(AX206&gt;=50,5,
IF(AX206&gt;=40,4,0)))))))</f>
        <v>7</v>
      </c>
      <c r="AT206" s="8">
        <f t="shared" ref="AT206:AT216" si="241">AS206*I206</f>
        <v>14</v>
      </c>
      <c r="AU206" s="13">
        <f>IF(OR(UPPER(TRIM(AC206))="AB", AC206=901, AC206="901"), 0, IF(ISNUMBER(MATCH(UPPER(TRIM(AC206)), {"A+","A","B+","B","C","D","P"}, 0)), 2, 0))</f>
        <v>2</v>
      </c>
      <c r="AV206" s="13">
        <f t="shared" ref="AV206:AV216" si="242">SUM(
IF(OR(UPPER(TRIM(J206))="AB",J206=901,J206="901"),0,IFERROR(VALUE(J206),0)),
IF(OR(UPPER(TRIM(L206))="AB",L206=901,L206="901"),0,IFERROR(VALUE(L206),0)),
IF(OR(UPPER(TRIM(N206))="AB",N206=901,N206="901"),0,IFERROR(VALUE(N206),0))
)</f>
        <v>30</v>
      </c>
      <c r="AW206">
        <f t="shared" ref="AW206:AW216" si="243">AA206+AV206</f>
        <v>30</v>
      </c>
      <c r="AX206" s="1">
        <f t="shared" ref="AX206:AX216" si="244">(AW206 / 50) * 100</f>
        <v>60</v>
      </c>
      <c r="AY206" s="13">
        <f>SUM(AW206:AW216)</f>
        <v>229</v>
      </c>
    </row>
    <row r="207" spans="1:51">
      <c r="A207" s="7">
        <v>5089274</v>
      </c>
      <c r="B207" s="7"/>
      <c r="C207" s="33" t="s">
        <v>81</v>
      </c>
      <c r="D207" s="1" t="s">
        <v>47</v>
      </c>
      <c r="E207" s="3">
        <v>1</v>
      </c>
      <c r="F207" s="1" t="s">
        <v>48</v>
      </c>
      <c r="G207" s="1">
        <v>1171312</v>
      </c>
      <c r="H207" s="2" t="s">
        <v>51</v>
      </c>
      <c r="I207" s="5" t="s">
        <v>50</v>
      </c>
      <c r="J207" s="1">
        <v>18</v>
      </c>
      <c r="K207" s="13" t="str">
        <f t="shared" ref="K207:K216" si="245">IF(OR(UPPER(TRIM(J207))="AB",J207=901,J207="901"),"F",IF(J207&gt;=8,"P","F"))</f>
        <v>P</v>
      </c>
      <c r="L207" s="1">
        <v>0</v>
      </c>
      <c r="M207" s="13" t="str">
        <f t="shared" ref="M207:M216" si="246">IF(OR(UPPER(TRIM(L207))="AB",L207=901,L207="901"),"F",IF(L207&gt;=8,"P","F"))</f>
        <v>F</v>
      </c>
      <c r="AB207" s="7" t="str">
        <f t="shared" si="237"/>
        <v>18</v>
      </c>
      <c r="AC207" s="13" t="str">
        <f t="shared" si="238"/>
        <v>F</v>
      </c>
      <c r="AD207" s="13" t="str">
        <f>AD206</f>
        <v>229</v>
      </c>
      <c r="AE207" s="1">
        <v>550</v>
      </c>
      <c r="AF207" s="15">
        <f t="shared" ref="AF207:AG216" si="247">AF206</f>
        <v>41.63636363636364</v>
      </c>
      <c r="AG207" s="13" t="str">
        <f t="shared" si="247"/>
        <v>ATKT</v>
      </c>
      <c r="AI207" s="1">
        <v>22</v>
      </c>
      <c r="AJ207" s="15">
        <f>AJ206</f>
        <v>12</v>
      </c>
      <c r="AK207" s="16">
        <f>AK206</f>
        <v>62</v>
      </c>
      <c r="AL207" s="7">
        <f>AL206</f>
        <v>0</v>
      </c>
      <c r="AR207" s="7" t="str">
        <f t="shared" si="239"/>
        <v>F</v>
      </c>
      <c r="AS207" s="8">
        <f t="shared" si="240"/>
        <v>0</v>
      </c>
      <c r="AT207" s="8">
        <f t="shared" si="241"/>
        <v>0</v>
      </c>
      <c r="AU207" s="13">
        <f>IF(OR(UPPER(TRIM(AC207))="AB", AC207=901, AC207="901"), 0, IF(ISNUMBER(MATCH(UPPER(TRIM(AC207)), {"A+","A","B+","B","C","D","P"}, 0)), 2, 0))</f>
        <v>0</v>
      </c>
      <c r="AV207" s="13">
        <f t="shared" si="242"/>
        <v>18</v>
      </c>
      <c r="AW207">
        <f t="shared" si="243"/>
        <v>18</v>
      </c>
      <c r="AX207" s="1">
        <f t="shared" si="244"/>
        <v>36</v>
      </c>
      <c r="AY207" s="13">
        <f t="shared" ref="AY207:AY216" si="248">AY206</f>
        <v>229</v>
      </c>
    </row>
    <row r="208" spans="1:51">
      <c r="A208" s="7">
        <v>5089274</v>
      </c>
      <c r="B208" s="7"/>
      <c r="C208" s="33" t="s">
        <v>81</v>
      </c>
      <c r="D208" s="1" t="s">
        <v>47</v>
      </c>
      <c r="E208" s="3">
        <v>1</v>
      </c>
      <c r="F208" s="1" t="s">
        <v>48</v>
      </c>
      <c r="G208" s="1">
        <v>1461111</v>
      </c>
      <c r="H208" s="2" t="s">
        <v>52</v>
      </c>
      <c r="I208" s="5" t="s">
        <v>50</v>
      </c>
      <c r="J208" s="1">
        <v>12</v>
      </c>
      <c r="K208" s="13" t="str">
        <f t="shared" si="245"/>
        <v>P</v>
      </c>
      <c r="L208" s="1">
        <v>2</v>
      </c>
      <c r="M208" s="13" t="str">
        <f t="shared" si="246"/>
        <v>F</v>
      </c>
      <c r="AB208" s="7" t="str">
        <f t="shared" si="237"/>
        <v>14</v>
      </c>
      <c r="AC208" s="13" t="str">
        <f t="shared" si="238"/>
        <v>F</v>
      </c>
      <c r="AD208" s="13" t="str">
        <f t="shared" ref="AD208:AD216" si="249">AD207</f>
        <v>229</v>
      </c>
      <c r="AE208" s="1">
        <v>550</v>
      </c>
      <c r="AF208" s="15">
        <f t="shared" si="247"/>
        <v>41.63636363636364</v>
      </c>
      <c r="AG208" s="13" t="str">
        <f t="shared" si="247"/>
        <v>ATKT</v>
      </c>
      <c r="AI208" s="1">
        <v>22</v>
      </c>
      <c r="AJ208" s="15">
        <f t="shared" ref="AJ208:AL216" si="250">AJ207</f>
        <v>12</v>
      </c>
      <c r="AK208" s="16">
        <f t="shared" si="250"/>
        <v>62</v>
      </c>
      <c r="AL208" s="7">
        <f t="shared" si="250"/>
        <v>0</v>
      </c>
      <c r="AR208" s="7" t="str">
        <f t="shared" si="239"/>
        <v>F</v>
      </c>
      <c r="AS208" s="8">
        <f t="shared" si="240"/>
        <v>0</v>
      </c>
      <c r="AT208" s="8">
        <f t="shared" si="241"/>
        <v>0</v>
      </c>
      <c r="AU208" s="13">
        <f>IF(OR(UPPER(TRIM(AC208))="AB", AC208=901, AC208="901"), 0, IF(ISNUMBER(MATCH(UPPER(TRIM(AC208)), {"A+","A","B+","B","C","D","P"}, 0)), 2, 0))</f>
        <v>0</v>
      </c>
      <c r="AV208" s="13">
        <f t="shared" si="242"/>
        <v>14</v>
      </c>
      <c r="AW208">
        <f t="shared" si="243"/>
        <v>14</v>
      </c>
      <c r="AX208" s="1">
        <f t="shared" si="244"/>
        <v>28.000000000000004</v>
      </c>
      <c r="AY208" s="13">
        <f t="shared" si="248"/>
        <v>229</v>
      </c>
    </row>
    <row r="209" spans="1:51">
      <c r="A209" s="7">
        <v>5089274</v>
      </c>
      <c r="B209" s="7"/>
      <c r="C209" s="33" t="s">
        <v>81</v>
      </c>
      <c r="D209" s="1" t="s">
        <v>47</v>
      </c>
      <c r="E209" s="3">
        <v>1</v>
      </c>
      <c r="F209" s="1" t="s">
        <v>48</v>
      </c>
      <c r="G209" s="1">
        <v>1461112</v>
      </c>
      <c r="H209" s="2" t="s">
        <v>53</v>
      </c>
      <c r="I209" s="5" t="s">
        <v>50</v>
      </c>
      <c r="J209" s="1">
        <v>12</v>
      </c>
      <c r="K209" s="13" t="str">
        <f t="shared" si="245"/>
        <v>P</v>
      </c>
      <c r="L209" s="1">
        <v>12</v>
      </c>
      <c r="M209" s="13" t="str">
        <f t="shared" si="246"/>
        <v>P</v>
      </c>
      <c r="AB209" s="7" t="str">
        <f t="shared" si="237"/>
        <v>24</v>
      </c>
      <c r="AC209" s="13" t="str">
        <f t="shared" si="238"/>
        <v>D</v>
      </c>
      <c r="AD209" s="13" t="str">
        <f t="shared" si="249"/>
        <v>229</v>
      </c>
      <c r="AE209" s="1">
        <v>550</v>
      </c>
      <c r="AF209" s="15">
        <f t="shared" si="247"/>
        <v>41.63636363636364</v>
      </c>
      <c r="AG209" s="13" t="str">
        <f t="shared" si="247"/>
        <v>ATKT</v>
      </c>
      <c r="AI209" s="1">
        <v>22</v>
      </c>
      <c r="AJ209" s="15">
        <f t="shared" si="250"/>
        <v>12</v>
      </c>
      <c r="AK209" s="16">
        <f t="shared" si="250"/>
        <v>62</v>
      </c>
      <c r="AL209" s="7">
        <f t="shared" si="250"/>
        <v>0</v>
      </c>
      <c r="AR209" s="7" t="str">
        <f t="shared" si="239"/>
        <v>F</v>
      </c>
      <c r="AS209" s="8">
        <f t="shared" si="240"/>
        <v>4</v>
      </c>
      <c r="AT209" s="8">
        <f t="shared" si="241"/>
        <v>8</v>
      </c>
      <c r="AU209" s="13">
        <f>IF(OR(UPPER(TRIM(AC209))="AB", AC209=901, AC209="901"), 0, IF(ISNUMBER(MATCH(UPPER(TRIM(AC209)), {"A+","A","B+","B","C","D","P"}, 0)), 2, 0))</f>
        <v>2</v>
      </c>
      <c r="AV209" s="13">
        <f t="shared" si="242"/>
        <v>24</v>
      </c>
      <c r="AW209">
        <f t="shared" si="243"/>
        <v>24</v>
      </c>
      <c r="AX209" s="1">
        <f t="shared" si="244"/>
        <v>48</v>
      </c>
      <c r="AY209" s="13">
        <f t="shared" si="248"/>
        <v>229</v>
      </c>
    </row>
    <row r="210" spans="1:51">
      <c r="A210" s="7">
        <v>5089274</v>
      </c>
      <c r="B210" s="7"/>
      <c r="C210" s="33" t="s">
        <v>81</v>
      </c>
      <c r="D210" s="1" t="s">
        <v>47</v>
      </c>
      <c r="E210" s="3">
        <v>1</v>
      </c>
      <c r="F210" s="1" t="s">
        <v>48</v>
      </c>
      <c r="G210" s="1">
        <v>1461113</v>
      </c>
      <c r="H210" s="2" t="s">
        <v>54</v>
      </c>
      <c r="I210" s="5" t="s">
        <v>50</v>
      </c>
      <c r="J210" s="1">
        <v>19</v>
      </c>
      <c r="K210" s="13" t="str">
        <f t="shared" si="245"/>
        <v>P</v>
      </c>
      <c r="L210" s="1">
        <v>3</v>
      </c>
      <c r="M210" s="13" t="str">
        <f t="shared" si="246"/>
        <v>F</v>
      </c>
      <c r="AB210" s="7" t="str">
        <f t="shared" si="237"/>
        <v>22</v>
      </c>
      <c r="AC210" s="13" t="str">
        <f t="shared" si="238"/>
        <v>D</v>
      </c>
      <c r="AD210" s="13" t="str">
        <f t="shared" si="249"/>
        <v>229</v>
      </c>
      <c r="AE210" s="1">
        <v>550</v>
      </c>
      <c r="AF210" s="15">
        <f t="shared" si="247"/>
        <v>41.63636363636364</v>
      </c>
      <c r="AG210" s="13" t="str">
        <f t="shared" si="247"/>
        <v>ATKT</v>
      </c>
      <c r="AI210" s="1">
        <v>22</v>
      </c>
      <c r="AJ210" s="15">
        <f t="shared" si="250"/>
        <v>12</v>
      </c>
      <c r="AK210" s="16">
        <f t="shared" si="250"/>
        <v>62</v>
      </c>
      <c r="AL210" s="7">
        <f t="shared" si="250"/>
        <v>0</v>
      </c>
      <c r="AR210" s="7" t="str">
        <f t="shared" si="239"/>
        <v>F</v>
      </c>
      <c r="AS210" s="8">
        <f t="shared" si="240"/>
        <v>4</v>
      </c>
      <c r="AT210" s="8">
        <f t="shared" si="241"/>
        <v>8</v>
      </c>
      <c r="AU210" s="13">
        <f>IF(OR(UPPER(TRIM(AC210))="AB", AC210=901, AC210="901"), 0, IF(ISNUMBER(MATCH(UPPER(TRIM(AC210)), {"A+","A","B+","B","C","D","P"}, 0)), 2, 0))</f>
        <v>2</v>
      </c>
      <c r="AV210" s="13">
        <f t="shared" si="242"/>
        <v>22</v>
      </c>
      <c r="AW210">
        <f t="shared" si="243"/>
        <v>22</v>
      </c>
      <c r="AX210" s="1">
        <f t="shared" si="244"/>
        <v>44</v>
      </c>
      <c r="AY210" s="13">
        <f t="shared" si="248"/>
        <v>229</v>
      </c>
    </row>
    <row r="211" spans="1:51">
      <c r="A211" s="7">
        <v>5089274</v>
      </c>
      <c r="B211" s="7"/>
      <c r="C211" s="33" t="s">
        <v>81</v>
      </c>
      <c r="D211" s="1" t="s">
        <v>47</v>
      </c>
      <c r="E211" s="3">
        <v>1</v>
      </c>
      <c r="F211" s="1" t="s">
        <v>48</v>
      </c>
      <c r="G211" s="1">
        <v>1461411</v>
      </c>
      <c r="H211" s="2" t="s">
        <v>55</v>
      </c>
      <c r="I211" s="5" t="s">
        <v>50</v>
      </c>
      <c r="J211" s="1">
        <v>16</v>
      </c>
      <c r="K211" s="13" t="str">
        <f t="shared" si="245"/>
        <v>P</v>
      </c>
      <c r="L211" s="1">
        <v>4</v>
      </c>
      <c r="M211" s="13" t="str">
        <f t="shared" si="246"/>
        <v>F</v>
      </c>
      <c r="AB211" s="7" t="str">
        <f t="shared" si="237"/>
        <v>20</v>
      </c>
      <c r="AC211" s="13" t="str">
        <f t="shared" si="238"/>
        <v>D</v>
      </c>
      <c r="AD211" s="13" t="str">
        <f t="shared" si="249"/>
        <v>229</v>
      </c>
      <c r="AE211" s="1">
        <v>550</v>
      </c>
      <c r="AF211" s="15">
        <f t="shared" si="247"/>
        <v>41.63636363636364</v>
      </c>
      <c r="AG211" s="13" t="str">
        <f t="shared" si="247"/>
        <v>ATKT</v>
      </c>
      <c r="AI211" s="1">
        <v>22</v>
      </c>
      <c r="AJ211" s="15">
        <f t="shared" si="250"/>
        <v>12</v>
      </c>
      <c r="AK211" s="16">
        <f t="shared" si="250"/>
        <v>62</v>
      </c>
      <c r="AL211" s="7">
        <f t="shared" si="250"/>
        <v>0</v>
      </c>
      <c r="AR211" s="7" t="str">
        <f t="shared" si="239"/>
        <v>F</v>
      </c>
      <c r="AS211" s="8">
        <f t="shared" si="240"/>
        <v>4</v>
      </c>
      <c r="AT211" s="8">
        <f t="shared" si="241"/>
        <v>8</v>
      </c>
      <c r="AU211" s="13">
        <f>IF(OR(UPPER(TRIM(AC211))="AB", AC211=901, AC211="901"), 0, IF(ISNUMBER(MATCH(UPPER(TRIM(AC211)), {"A+","A","B+","B","C","D","P"}, 0)), 2, 0))</f>
        <v>2</v>
      </c>
      <c r="AV211" s="13">
        <f t="shared" si="242"/>
        <v>20</v>
      </c>
      <c r="AW211">
        <f t="shared" si="243"/>
        <v>20</v>
      </c>
      <c r="AX211" s="1">
        <f t="shared" si="244"/>
        <v>40</v>
      </c>
      <c r="AY211" s="13">
        <f t="shared" si="248"/>
        <v>229</v>
      </c>
    </row>
    <row r="212" spans="1:51">
      <c r="A212" s="7">
        <v>5089274</v>
      </c>
      <c r="B212" s="7"/>
      <c r="C212" s="33" t="s">
        <v>81</v>
      </c>
      <c r="D212" s="1" t="s">
        <v>47</v>
      </c>
      <c r="E212" s="3">
        <v>1</v>
      </c>
      <c r="F212" s="1" t="s">
        <v>48</v>
      </c>
      <c r="G212" s="1">
        <v>1461412</v>
      </c>
      <c r="H212" s="2" t="s">
        <v>56</v>
      </c>
      <c r="I212" s="5" t="s">
        <v>50</v>
      </c>
      <c r="J212" s="1">
        <v>12</v>
      </c>
      <c r="K212" s="13" t="str">
        <f t="shared" si="245"/>
        <v>P</v>
      </c>
      <c r="L212" s="1">
        <v>1</v>
      </c>
      <c r="M212" s="13" t="str">
        <f t="shared" si="246"/>
        <v>F</v>
      </c>
      <c r="AB212" s="7" t="str">
        <f t="shared" si="237"/>
        <v>13</v>
      </c>
      <c r="AC212" s="13" t="str">
        <f t="shared" si="238"/>
        <v>F</v>
      </c>
      <c r="AD212" s="13" t="str">
        <f t="shared" si="249"/>
        <v>229</v>
      </c>
      <c r="AE212" s="1">
        <v>550</v>
      </c>
      <c r="AF212" s="15">
        <f t="shared" si="247"/>
        <v>41.63636363636364</v>
      </c>
      <c r="AG212" s="13" t="str">
        <f t="shared" si="247"/>
        <v>ATKT</v>
      </c>
      <c r="AI212" s="1">
        <v>22</v>
      </c>
      <c r="AJ212" s="15">
        <f t="shared" si="250"/>
        <v>12</v>
      </c>
      <c r="AK212" s="16">
        <f t="shared" si="250"/>
        <v>62</v>
      </c>
      <c r="AL212" s="7">
        <f t="shared" si="250"/>
        <v>0</v>
      </c>
      <c r="AR212" s="7" t="str">
        <f t="shared" si="239"/>
        <v>F</v>
      </c>
      <c r="AS212" s="8">
        <f t="shared" si="240"/>
        <v>0</v>
      </c>
      <c r="AT212" s="8">
        <f t="shared" si="241"/>
        <v>0</v>
      </c>
      <c r="AU212" s="13">
        <f>IF(OR(UPPER(TRIM(AC212))="AB", AC212=901, AC212="901"), 0, IF(ISNUMBER(MATCH(UPPER(TRIM(AC212)), {"A+","A","B+","B","C","D","P"}, 0)), 2, 0))</f>
        <v>0</v>
      </c>
      <c r="AV212" s="13">
        <f t="shared" si="242"/>
        <v>13</v>
      </c>
      <c r="AW212">
        <f t="shared" si="243"/>
        <v>13</v>
      </c>
      <c r="AX212" s="1">
        <f t="shared" si="244"/>
        <v>26</v>
      </c>
      <c r="AY212" s="13">
        <f t="shared" si="248"/>
        <v>229</v>
      </c>
    </row>
    <row r="213" spans="1:51">
      <c r="A213" s="7">
        <v>5089274</v>
      </c>
      <c r="B213" s="7"/>
      <c r="C213" s="33" t="s">
        <v>81</v>
      </c>
      <c r="D213" s="1" t="s">
        <v>47</v>
      </c>
      <c r="E213" s="3">
        <v>1</v>
      </c>
      <c r="F213" s="1" t="s">
        <v>48</v>
      </c>
      <c r="G213" s="1">
        <v>2511515</v>
      </c>
      <c r="H213" s="2" t="s">
        <v>57</v>
      </c>
      <c r="I213" s="5" t="s">
        <v>50</v>
      </c>
      <c r="J213" s="1">
        <v>12</v>
      </c>
      <c r="K213" s="13" t="str">
        <f t="shared" si="245"/>
        <v>P</v>
      </c>
      <c r="L213" s="1">
        <v>12</v>
      </c>
      <c r="M213" s="13" t="str">
        <f t="shared" si="246"/>
        <v>P</v>
      </c>
      <c r="AB213" s="7" t="str">
        <f t="shared" si="237"/>
        <v>24</v>
      </c>
      <c r="AC213" s="13" t="str">
        <f t="shared" si="238"/>
        <v>D</v>
      </c>
      <c r="AD213" s="13" t="str">
        <f t="shared" si="249"/>
        <v>229</v>
      </c>
      <c r="AE213" s="1">
        <v>550</v>
      </c>
      <c r="AF213" s="15">
        <f t="shared" si="247"/>
        <v>41.63636363636364</v>
      </c>
      <c r="AG213" s="13" t="str">
        <f t="shared" si="247"/>
        <v>ATKT</v>
      </c>
      <c r="AI213" s="1">
        <v>22</v>
      </c>
      <c r="AJ213" s="15">
        <f t="shared" si="250"/>
        <v>12</v>
      </c>
      <c r="AK213" s="16">
        <f t="shared" si="250"/>
        <v>62</v>
      </c>
      <c r="AL213" s="7">
        <f t="shared" si="250"/>
        <v>0</v>
      </c>
      <c r="AR213" s="7" t="str">
        <f t="shared" si="239"/>
        <v>F</v>
      </c>
      <c r="AS213" s="8">
        <f t="shared" si="240"/>
        <v>4</v>
      </c>
      <c r="AT213" s="8">
        <f t="shared" si="241"/>
        <v>8</v>
      </c>
      <c r="AU213" s="13">
        <f>IF(OR(UPPER(TRIM(AC213))="AB", AC213=901, AC213="901"), 0, IF(ISNUMBER(MATCH(UPPER(TRIM(AC213)), {"A+","A","B+","B","C","D","P"}, 0)), 2, 0))</f>
        <v>2</v>
      </c>
      <c r="AV213" s="13">
        <f t="shared" si="242"/>
        <v>24</v>
      </c>
      <c r="AW213">
        <f t="shared" si="243"/>
        <v>24</v>
      </c>
      <c r="AX213" s="1">
        <f t="shared" si="244"/>
        <v>48</v>
      </c>
      <c r="AY213" s="13">
        <f t="shared" si="248"/>
        <v>229</v>
      </c>
    </row>
    <row r="214" spans="1:51">
      <c r="A214" s="7">
        <v>5089274</v>
      </c>
      <c r="B214" s="7"/>
      <c r="C214" s="33" t="s">
        <v>81</v>
      </c>
      <c r="D214" s="1" t="s">
        <v>47</v>
      </c>
      <c r="E214" s="3">
        <v>1</v>
      </c>
      <c r="F214" s="1" t="s">
        <v>48</v>
      </c>
      <c r="G214" s="1">
        <v>2521615</v>
      </c>
      <c r="H214" s="4" t="s">
        <v>58</v>
      </c>
      <c r="I214" s="5" t="s">
        <v>50</v>
      </c>
      <c r="J214" s="1">
        <v>20</v>
      </c>
      <c r="K214" s="13" t="str">
        <f t="shared" si="245"/>
        <v>P</v>
      </c>
      <c r="L214" s="1">
        <v>15</v>
      </c>
      <c r="M214" s="13" t="str">
        <f t="shared" si="246"/>
        <v>P</v>
      </c>
      <c r="AB214" s="7" t="str">
        <f t="shared" si="237"/>
        <v>35</v>
      </c>
      <c r="AC214" s="13" t="str">
        <f t="shared" si="238"/>
        <v>A</v>
      </c>
      <c r="AD214" s="13" t="str">
        <f t="shared" si="249"/>
        <v>229</v>
      </c>
      <c r="AE214" s="1">
        <v>550</v>
      </c>
      <c r="AF214" s="15">
        <f t="shared" si="247"/>
        <v>41.63636363636364</v>
      </c>
      <c r="AG214" s="13" t="str">
        <f t="shared" si="247"/>
        <v>ATKT</v>
      </c>
      <c r="AI214" s="1">
        <v>22</v>
      </c>
      <c r="AJ214" s="15">
        <f t="shared" si="250"/>
        <v>12</v>
      </c>
      <c r="AK214" s="16">
        <f t="shared" si="250"/>
        <v>62</v>
      </c>
      <c r="AL214" s="7">
        <f t="shared" si="250"/>
        <v>0</v>
      </c>
      <c r="AR214" s="7" t="str">
        <f t="shared" si="239"/>
        <v>F</v>
      </c>
      <c r="AS214" s="8">
        <f t="shared" si="240"/>
        <v>8</v>
      </c>
      <c r="AT214" s="8">
        <f t="shared" si="241"/>
        <v>16</v>
      </c>
      <c r="AU214" s="13">
        <f>IF(OR(UPPER(TRIM(AC214))="AB", AC214=901, AC214="901"), 0, IF(ISNUMBER(MATCH(UPPER(TRIM(AC214)), {"A+","A","B+","B","C","D","P"}, 0)), 2, 0))</f>
        <v>2</v>
      </c>
      <c r="AV214" s="13">
        <f t="shared" si="242"/>
        <v>35</v>
      </c>
      <c r="AW214">
        <f t="shared" si="243"/>
        <v>35</v>
      </c>
      <c r="AX214" s="1">
        <f t="shared" si="244"/>
        <v>70</v>
      </c>
      <c r="AY214" s="13">
        <f t="shared" si="248"/>
        <v>229</v>
      </c>
    </row>
    <row r="215" spans="1:51">
      <c r="A215" s="7">
        <v>5089274</v>
      </c>
      <c r="B215" s="7"/>
      <c r="C215" s="33" t="s">
        <v>81</v>
      </c>
      <c r="D215" s="1" t="s">
        <v>47</v>
      </c>
      <c r="E215" s="3">
        <v>1</v>
      </c>
      <c r="F215" s="1" t="s">
        <v>48</v>
      </c>
      <c r="G215" s="1">
        <v>2531511</v>
      </c>
      <c r="H215" s="2" t="s">
        <v>59</v>
      </c>
      <c r="I215" s="5" t="s">
        <v>50</v>
      </c>
      <c r="J215" s="1">
        <v>10</v>
      </c>
      <c r="K215" s="13" t="str">
        <f t="shared" si="245"/>
        <v>P</v>
      </c>
      <c r="L215" s="1">
        <v>3</v>
      </c>
      <c r="M215" s="13" t="str">
        <f t="shared" si="246"/>
        <v>F</v>
      </c>
      <c r="AB215" s="7" t="str">
        <f t="shared" si="237"/>
        <v>13</v>
      </c>
      <c r="AC215" s="13" t="str">
        <f t="shared" si="238"/>
        <v>F</v>
      </c>
      <c r="AD215" s="13" t="str">
        <f t="shared" si="249"/>
        <v>229</v>
      </c>
      <c r="AE215" s="1">
        <v>550</v>
      </c>
      <c r="AF215" s="15">
        <f t="shared" si="247"/>
        <v>41.63636363636364</v>
      </c>
      <c r="AG215" s="13" t="str">
        <f t="shared" si="247"/>
        <v>ATKT</v>
      </c>
      <c r="AI215" s="1">
        <v>22</v>
      </c>
      <c r="AJ215" s="15">
        <f t="shared" si="250"/>
        <v>12</v>
      </c>
      <c r="AK215" s="16">
        <f t="shared" si="250"/>
        <v>62</v>
      </c>
      <c r="AL215" s="7">
        <f t="shared" si="250"/>
        <v>0</v>
      </c>
      <c r="AR215" s="7" t="str">
        <f t="shared" si="239"/>
        <v>F</v>
      </c>
      <c r="AS215" s="8">
        <f t="shared" si="240"/>
        <v>0</v>
      </c>
      <c r="AT215" s="8">
        <f t="shared" si="241"/>
        <v>0</v>
      </c>
      <c r="AU215" s="13">
        <f>IF(OR(UPPER(TRIM(AC215))="AB", AC215=901, AC215="901"), 0, IF(ISNUMBER(MATCH(UPPER(TRIM(AC215)), {"A+","A","B+","B","C","D","P"}, 0)), 2, 0))</f>
        <v>0</v>
      </c>
      <c r="AV215" s="13">
        <f t="shared" si="242"/>
        <v>13</v>
      </c>
      <c r="AW215">
        <f t="shared" si="243"/>
        <v>13</v>
      </c>
      <c r="AX215" s="1">
        <f t="shared" si="244"/>
        <v>26</v>
      </c>
      <c r="AY215" s="13">
        <f t="shared" si="248"/>
        <v>229</v>
      </c>
    </row>
    <row r="216" spans="1:51">
      <c r="A216" s="7">
        <v>5089274</v>
      </c>
      <c r="B216" s="7"/>
      <c r="C216" s="33" t="s">
        <v>81</v>
      </c>
      <c r="D216" s="1" t="s">
        <v>47</v>
      </c>
      <c r="E216" s="3">
        <v>1</v>
      </c>
      <c r="F216" s="1" t="s">
        <v>48</v>
      </c>
      <c r="G216" s="1">
        <v>2541515</v>
      </c>
      <c r="H216" s="2" t="s">
        <v>60</v>
      </c>
      <c r="I216" s="5" t="s">
        <v>50</v>
      </c>
      <c r="J216" s="1">
        <v>16</v>
      </c>
      <c r="K216" s="13" t="str">
        <f t="shared" si="245"/>
        <v>P</v>
      </c>
      <c r="L216" s="6">
        <v>0</v>
      </c>
      <c r="M216" s="13" t="str">
        <f t="shared" si="246"/>
        <v>F</v>
      </c>
      <c r="AB216" s="7" t="str">
        <f t="shared" si="237"/>
        <v>16</v>
      </c>
      <c r="AC216" s="13" t="str">
        <f t="shared" si="238"/>
        <v>F</v>
      </c>
      <c r="AD216" s="13" t="str">
        <f t="shared" si="249"/>
        <v>229</v>
      </c>
      <c r="AE216" s="1">
        <v>550</v>
      </c>
      <c r="AF216" s="15">
        <f t="shared" si="247"/>
        <v>41.63636363636364</v>
      </c>
      <c r="AG216" s="13" t="str">
        <f t="shared" si="247"/>
        <v>ATKT</v>
      </c>
      <c r="AI216" s="1">
        <v>22</v>
      </c>
      <c r="AJ216" s="15">
        <f t="shared" si="250"/>
        <v>12</v>
      </c>
      <c r="AK216" s="16">
        <f t="shared" si="250"/>
        <v>62</v>
      </c>
      <c r="AL216" s="7">
        <f t="shared" si="250"/>
        <v>0</v>
      </c>
      <c r="AR216" s="7" t="str">
        <f t="shared" si="239"/>
        <v>F</v>
      </c>
      <c r="AS216" s="8">
        <f t="shared" si="240"/>
        <v>0</v>
      </c>
      <c r="AT216" s="8">
        <f t="shared" si="241"/>
        <v>0</v>
      </c>
      <c r="AU216" s="13">
        <f>IF(OR(UPPER(TRIM(AC216))="AB", AC216=901, AC216="901"), 0, IF(ISNUMBER(MATCH(UPPER(TRIM(AC216)), {"A+","A","B+","B","C","D","P"}, 0)), 2, 0))</f>
        <v>0</v>
      </c>
      <c r="AV216" s="13">
        <f t="shared" si="242"/>
        <v>16</v>
      </c>
      <c r="AW216">
        <f t="shared" si="243"/>
        <v>16</v>
      </c>
      <c r="AX216" s="1">
        <f t="shared" si="244"/>
        <v>32</v>
      </c>
      <c r="AY216" s="13">
        <f t="shared" si="248"/>
        <v>229</v>
      </c>
    </row>
    <row r="218" spans="1:51">
      <c r="A218" s="7">
        <v>5390107</v>
      </c>
      <c r="B218" s="7"/>
      <c r="C218" s="33" t="s">
        <v>82</v>
      </c>
      <c r="D218" s="1" t="s">
        <v>47</v>
      </c>
      <c r="E218" s="3">
        <v>1</v>
      </c>
      <c r="F218" s="1" t="s">
        <v>48</v>
      </c>
      <c r="G218" s="1">
        <v>1011312</v>
      </c>
      <c r="H218" s="2" t="s">
        <v>49</v>
      </c>
      <c r="I218" s="5" t="s">
        <v>50</v>
      </c>
      <c r="J218" s="6">
        <v>901</v>
      </c>
      <c r="K218" s="13" t="str">
        <f>IF(OR(UPPER(TRIM(J218))="AB",J218=901,J218="901"),"F",IF(J218&gt;=8,"P","F"))</f>
        <v>F</v>
      </c>
      <c r="L218" s="1">
        <v>901</v>
      </c>
      <c r="M218" s="13" t="str">
        <f>IF(OR(UPPER(TRIM(L218))="AB",L218=901,L218="901"),"F",IF(L218&gt;=8,"P","F"))</f>
        <v>F</v>
      </c>
      <c r="N218" s="13"/>
      <c r="O218" s="13"/>
      <c r="P218" s="13"/>
      <c r="Q218" s="13"/>
      <c r="R218" s="13"/>
      <c r="S218" s="13"/>
      <c r="T218" s="13"/>
      <c r="U218" s="13"/>
      <c r="V218" s="13"/>
      <c r="W218" s="13"/>
      <c r="X218" s="13"/>
      <c r="Y218" s="13"/>
      <c r="Z218" s="13"/>
      <c r="AB218" s="7" t="str">
        <f t="shared" ref="AB218:AB228" si="251">AV218 &amp; IF(AA218&lt;&gt;"", " @ " &amp; AA218, "")</f>
        <v>0</v>
      </c>
      <c r="AC218" s="13" t="str">
        <f t="shared" ref="AC218:AC228" si="252">IF(AX218&gt;=90,"O",
IF(AX218&gt;=80,"A+",
IF(AX218&gt;=70,"A",
IF(AX218&gt;=60,"B+",
IF(AX218&gt;=55,"B",
IF(AX218&gt;=50,"C",
IF(AX218&gt;=40,"D","F")))))))</f>
        <v>F</v>
      </c>
      <c r="AD218" s="13" t="str">
        <f>SUM(AV218:AV228) &amp; IF(SUM(AA218:AA228)&gt;0, " @ " &amp; SUM(AA218:AA228), "")</f>
        <v>213</v>
      </c>
      <c r="AE218" s="1">
        <v>550</v>
      </c>
      <c r="AF218" s="15">
        <f>AY218/AE218*100</f>
        <v>38.727272727272727</v>
      </c>
      <c r="AG218" s="13" t="str" cm="1">
        <f t="array" ref="AG218">IF(
  SUMPRODUCT(--(IFERROR(VALUE(J218:J228),9999)&lt;8))
  + SUMPRODUCT(--(IFERROR(VALUE(L218:L228),9999)&lt;12))
  + COUNTIF(J218:J228,"AB") + COUNTIF(L218:L228,"AB")
  + COUNTIF(J218:J228,901) + COUNTIF(L218:L228,901) &gt; 0,
  "ATKT",
  "PASS"
)</f>
        <v>ATKT</v>
      </c>
      <c r="AI218" s="1">
        <v>22</v>
      </c>
      <c r="AJ218" s="15">
        <f>SUM(AU218:AU228)</f>
        <v>14</v>
      </c>
      <c r="AK218" s="16">
        <f>SUM(AT218:AT228)</f>
        <v>60</v>
      </c>
      <c r="AL218" s="7">
        <f>IF(UPPER(TRIM(AG218))="ATKT",0,ROUND( (SUM(AT218:AT228) /22), 2))</f>
        <v>0</v>
      </c>
      <c r="AR218" s="7" t="str">
        <f t="shared" ref="AR218:AR228" si="253">IF(AL218&gt;=9,"O", IF(AL218&gt;=8,"A+", IF(AL218&gt;=7,"A", IF(AL218&gt;=6,"B+", IF(AL218&gt;=5.5,"B", IF(AL218&gt;=5,"C", IF(AL218&gt;=4,"D","F")))))))</f>
        <v>F</v>
      </c>
      <c r="AS218" s="8">
        <f t="shared" ref="AS218:AS228" si="254">IF(AX218&gt;=90,10,
IF(AX218&gt;=80,9,
IF(AX218&gt;=70,8,
IF(AX218&gt;=60,7,
IF(AX218&gt;=55,6,
IF(AX218&gt;=50,5,
IF(AX218&gt;=40,4,0)))))))</f>
        <v>0</v>
      </c>
      <c r="AT218" s="8">
        <f t="shared" ref="AT218:AT228" si="255">AS218*I218</f>
        <v>0</v>
      </c>
      <c r="AU218" s="13">
        <f>IF(OR(UPPER(TRIM(AC218))="AB", AC218=901, AC218="901"), 0, IF(ISNUMBER(MATCH(UPPER(TRIM(AC218)), {"A+","A","B+","B","C","D","P"}, 0)), 2, 0))</f>
        <v>0</v>
      </c>
      <c r="AV218" s="13">
        <f t="shared" ref="AV218:AV228" si="256">SUM(
IF(OR(UPPER(TRIM(J218))="AB",J218=901,J218="901"),0,IFERROR(VALUE(J218),0)),
IF(OR(UPPER(TRIM(L218))="AB",L218=901,L218="901"),0,IFERROR(VALUE(L218),0)),
IF(OR(UPPER(TRIM(N218))="AB",N218=901,N218="901"),0,IFERROR(VALUE(N218),0))
)</f>
        <v>0</v>
      </c>
      <c r="AW218">
        <f t="shared" ref="AW218:AW228" si="257">AA218+AV218</f>
        <v>0</v>
      </c>
      <c r="AX218" s="1">
        <f t="shared" ref="AX218:AX228" si="258">(AW218 / 50) * 100</f>
        <v>0</v>
      </c>
      <c r="AY218" s="13">
        <f>SUM(AW218:AW228)</f>
        <v>213</v>
      </c>
    </row>
    <row r="219" spans="1:51">
      <c r="A219" s="7">
        <v>5390107</v>
      </c>
      <c r="B219" s="7"/>
      <c r="C219" s="33" t="s">
        <v>82</v>
      </c>
      <c r="D219" s="1" t="s">
        <v>47</v>
      </c>
      <c r="E219" s="3">
        <v>1</v>
      </c>
      <c r="F219" s="1" t="s">
        <v>48</v>
      </c>
      <c r="G219" s="1">
        <v>1171312</v>
      </c>
      <c r="H219" s="2" t="s">
        <v>51</v>
      </c>
      <c r="I219" s="5" t="s">
        <v>50</v>
      </c>
      <c r="J219" s="1">
        <v>18</v>
      </c>
      <c r="K219" s="13" t="str">
        <f t="shared" ref="K219:K228" si="259">IF(OR(UPPER(TRIM(J219))="AB",J219=901,J219="901"),"F",IF(J219&gt;=8,"P","F"))</f>
        <v>P</v>
      </c>
      <c r="L219" s="1">
        <v>0</v>
      </c>
      <c r="M219" s="13" t="str">
        <f t="shared" ref="M219:M228" si="260">IF(OR(UPPER(TRIM(L219))="AB",L219=901,L219="901"),"F",IF(L219&gt;=8,"P","F"))</f>
        <v>F</v>
      </c>
      <c r="AB219" s="7" t="str">
        <f t="shared" si="251"/>
        <v>18</v>
      </c>
      <c r="AC219" s="13" t="str">
        <f t="shared" si="252"/>
        <v>F</v>
      </c>
      <c r="AD219" s="13" t="str">
        <f>AD218</f>
        <v>213</v>
      </c>
      <c r="AE219" s="1">
        <v>550</v>
      </c>
      <c r="AF219" s="15">
        <f t="shared" ref="AF219:AG228" si="261">AF218</f>
        <v>38.727272727272727</v>
      </c>
      <c r="AG219" s="13" t="str">
        <f t="shared" si="261"/>
        <v>ATKT</v>
      </c>
      <c r="AI219" s="1">
        <v>22</v>
      </c>
      <c r="AJ219" s="15">
        <f>AJ218</f>
        <v>14</v>
      </c>
      <c r="AK219" s="16">
        <f>AK218</f>
        <v>60</v>
      </c>
      <c r="AL219" s="7">
        <f>AL218</f>
        <v>0</v>
      </c>
      <c r="AR219" s="7" t="str">
        <f t="shared" si="253"/>
        <v>F</v>
      </c>
      <c r="AS219" s="8">
        <f t="shared" si="254"/>
        <v>0</v>
      </c>
      <c r="AT219" s="8">
        <f t="shared" si="255"/>
        <v>0</v>
      </c>
      <c r="AU219" s="13">
        <f>IF(OR(UPPER(TRIM(AC219))="AB", AC219=901, AC219="901"), 0, IF(ISNUMBER(MATCH(UPPER(TRIM(AC219)), {"A+","A","B+","B","C","D","P"}, 0)), 2, 0))</f>
        <v>0</v>
      </c>
      <c r="AV219" s="13">
        <f t="shared" si="256"/>
        <v>18</v>
      </c>
      <c r="AW219">
        <f t="shared" si="257"/>
        <v>18</v>
      </c>
      <c r="AX219" s="1">
        <f t="shared" si="258"/>
        <v>36</v>
      </c>
      <c r="AY219" s="13">
        <f t="shared" ref="AY219:AY228" si="262">AY218</f>
        <v>213</v>
      </c>
    </row>
    <row r="220" spans="1:51">
      <c r="A220" s="7">
        <v>5390107</v>
      </c>
      <c r="B220" s="7"/>
      <c r="C220" s="33" t="s">
        <v>82</v>
      </c>
      <c r="D220" s="1" t="s">
        <v>47</v>
      </c>
      <c r="E220" s="3">
        <v>1</v>
      </c>
      <c r="F220" s="1" t="s">
        <v>48</v>
      </c>
      <c r="G220" s="1">
        <v>1461111</v>
      </c>
      <c r="H220" s="2" t="s">
        <v>52</v>
      </c>
      <c r="I220" s="5" t="s">
        <v>50</v>
      </c>
      <c r="J220" s="1">
        <v>12</v>
      </c>
      <c r="K220" s="13" t="str">
        <f t="shared" si="259"/>
        <v>P</v>
      </c>
      <c r="L220" s="1">
        <v>12</v>
      </c>
      <c r="M220" s="13" t="str">
        <f t="shared" si="260"/>
        <v>P</v>
      </c>
      <c r="AB220" s="7" t="str">
        <f t="shared" si="251"/>
        <v>24</v>
      </c>
      <c r="AC220" s="13" t="str">
        <f t="shared" si="252"/>
        <v>D</v>
      </c>
      <c r="AD220" s="13" t="str">
        <f t="shared" ref="AD220:AD228" si="263">AD219</f>
        <v>213</v>
      </c>
      <c r="AE220" s="1">
        <v>550</v>
      </c>
      <c r="AF220" s="15">
        <f t="shared" si="261"/>
        <v>38.727272727272727</v>
      </c>
      <c r="AG220" s="13" t="str">
        <f t="shared" si="261"/>
        <v>ATKT</v>
      </c>
      <c r="AI220" s="1">
        <v>22</v>
      </c>
      <c r="AJ220" s="15">
        <f t="shared" ref="AJ220:AL228" si="264">AJ219</f>
        <v>14</v>
      </c>
      <c r="AK220" s="16">
        <f t="shared" si="264"/>
        <v>60</v>
      </c>
      <c r="AL220" s="7">
        <f t="shared" si="264"/>
        <v>0</v>
      </c>
      <c r="AR220" s="7" t="str">
        <f t="shared" si="253"/>
        <v>F</v>
      </c>
      <c r="AS220" s="8">
        <f t="shared" si="254"/>
        <v>4</v>
      </c>
      <c r="AT220" s="8">
        <f t="shared" si="255"/>
        <v>8</v>
      </c>
      <c r="AU220" s="13">
        <f>IF(OR(UPPER(TRIM(AC220))="AB", AC220=901, AC220="901"), 0, IF(ISNUMBER(MATCH(UPPER(TRIM(AC220)), {"A+","A","B+","B","C","D","P"}, 0)), 2, 0))</f>
        <v>2</v>
      </c>
      <c r="AV220" s="13">
        <f t="shared" si="256"/>
        <v>24</v>
      </c>
      <c r="AW220">
        <f t="shared" si="257"/>
        <v>24</v>
      </c>
      <c r="AX220" s="1">
        <f t="shared" si="258"/>
        <v>48</v>
      </c>
      <c r="AY220" s="13">
        <f t="shared" si="262"/>
        <v>213</v>
      </c>
    </row>
    <row r="221" spans="1:51">
      <c r="A221" s="7">
        <v>5390107</v>
      </c>
      <c r="B221" s="7"/>
      <c r="C221" s="33" t="s">
        <v>82</v>
      </c>
      <c r="D221" s="1" t="s">
        <v>47</v>
      </c>
      <c r="E221" s="3">
        <v>1</v>
      </c>
      <c r="F221" s="1" t="s">
        <v>48</v>
      </c>
      <c r="G221" s="1">
        <v>1461112</v>
      </c>
      <c r="H221" s="2" t="s">
        <v>53</v>
      </c>
      <c r="I221" s="5" t="s">
        <v>50</v>
      </c>
      <c r="J221" s="1">
        <v>12</v>
      </c>
      <c r="K221" s="13" t="str">
        <f t="shared" si="259"/>
        <v>P</v>
      </c>
      <c r="L221" s="1">
        <v>12</v>
      </c>
      <c r="M221" s="13" t="str">
        <f t="shared" si="260"/>
        <v>P</v>
      </c>
      <c r="AB221" s="7" t="str">
        <f t="shared" si="251"/>
        <v>24</v>
      </c>
      <c r="AC221" s="13" t="str">
        <f t="shared" si="252"/>
        <v>D</v>
      </c>
      <c r="AD221" s="13" t="str">
        <f t="shared" si="263"/>
        <v>213</v>
      </c>
      <c r="AE221" s="1">
        <v>550</v>
      </c>
      <c r="AF221" s="15">
        <f t="shared" si="261"/>
        <v>38.727272727272727</v>
      </c>
      <c r="AG221" s="13" t="str">
        <f t="shared" si="261"/>
        <v>ATKT</v>
      </c>
      <c r="AI221" s="1">
        <v>22</v>
      </c>
      <c r="AJ221" s="15">
        <f t="shared" si="264"/>
        <v>14</v>
      </c>
      <c r="AK221" s="16">
        <f t="shared" si="264"/>
        <v>60</v>
      </c>
      <c r="AL221" s="7">
        <f t="shared" si="264"/>
        <v>0</v>
      </c>
      <c r="AR221" s="7" t="str">
        <f t="shared" si="253"/>
        <v>F</v>
      </c>
      <c r="AS221" s="8">
        <f t="shared" si="254"/>
        <v>4</v>
      </c>
      <c r="AT221" s="8">
        <f t="shared" si="255"/>
        <v>8</v>
      </c>
      <c r="AU221" s="13">
        <f>IF(OR(UPPER(TRIM(AC221))="AB", AC221=901, AC221="901"), 0, IF(ISNUMBER(MATCH(UPPER(TRIM(AC221)), {"A+","A","B+","B","C","D","P"}, 0)), 2, 0))</f>
        <v>2</v>
      </c>
      <c r="AV221" s="13">
        <f t="shared" si="256"/>
        <v>24</v>
      </c>
      <c r="AW221">
        <f t="shared" si="257"/>
        <v>24</v>
      </c>
      <c r="AX221" s="1">
        <f t="shared" si="258"/>
        <v>48</v>
      </c>
      <c r="AY221" s="13">
        <f t="shared" si="262"/>
        <v>213</v>
      </c>
    </row>
    <row r="222" spans="1:51">
      <c r="A222" s="7">
        <v>5390107</v>
      </c>
      <c r="B222" s="7"/>
      <c r="C222" s="33" t="s">
        <v>82</v>
      </c>
      <c r="D222" s="1" t="s">
        <v>47</v>
      </c>
      <c r="E222" s="3">
        <v>1</v>
      </c>
      <c r="F222" s="1" t="s">
        <v>48</v>
      </c>
      <c r="G222" s="1">
        <v>1461113</v>
      </c>
      <c r="H222" s="2" t="s">
        <v>54</v>
      </c>
      <c r="I222" s="5" t="s">
        <v>50</v>
      </c>
      <c r="J222" s="1">
        <v>14</v>
      </c>
      <c r="K222" s="13" t="str">
        <f t="shared" si="259"/>
        <v>P</v>
      </c>
      <c r="L222" s="1">
        <v>10</v>
      </c>
      <c r="M222" s="13" t="str">
        <f t="shared" si="260"/>
        <v>P</v>
      </c>
      <c r="AB222" s="7" t="str">
        <f t="shared" si="251"/>
        <v>24</v>
      </c>
      <c r="AC222" s="13" t="str">
        <f t="shared" si="252"/>
        <v>D</v>
      </c>
      <c r="AD222" s="13" t="str">
        <f t="shared" si="263"/>
        <v>213</v>
      </c>
      <c r="AE222" s="1">
        <v>550</v>
      </c>
      <c r="AF222" s="15">
        <f t="shared" si="261"/>
        <v>38.727272727272727</v>
      </c>
      <c r="AG222" s="13" t="str">
        <f t="shared" si="261"/>
        <v>ATKT</v>
      </c>
      <c r="AI222" s="1">
        <v>22</v>
      </c>
      <c r="AJ222" s="15">
        <f t="shared" si="264"/>
        <v>14</v>
      </c>
      <c r="AK222" s="16">
        <f t="shared" si="264"/>
        <v>60</v>
      </c>
      <c r="AL222" s="7">
        <f t="shared" si="264"/>
        <v>0</v>
      </c>
      <c r="AR222" s="7" t="str">
        <f t="shared" si="253"/>
        <v>F</v>
      </c>
      <c r="AS222" s="8">
        <f t="shared" si="254"/>
        <v>4</v>
      </c>
      <c r="AT222" s="8">
        <f t="shared" si="255"/>
        <v>8</v>
      </c>
      <c r="AU222" s="13">
        <f>IF(OR(UPPER(TRIM(AC222))="AB", AC222=901, AC222="901"), 0, IF(ISNUMBER(MATCH(UPPER(TRIM(AC222)), {"A+","A","B+","B","C","D","P"}, 0)), 2, 0))</f>
        <v>2</v>
      </c>
      <c r="AV222" s="13">
        <f t="shared" si="256"/>
        <v>24</v>
      </c>
      <c r="AW222">
        <f t="shared" si="257"/>
        <v>24</v>
      </c>
      <c r="AX222" s="1">
        <f t="shared" si="258"/>
        <v>48</v>
      </c>
      <c r="AY222" s="13">
        <f t="shared" si="262"/>
        <v>213</v>
      </c>
    </row>
    <row r="223" spans="1:51">
      <c r="A223" s="7">
        <v>5390107</v>
      </c>
      <c r="B223" s="7"/>
      <c r="C223" s="33" t="s">
        <v>82</v>
      </c>
      <c r="D223" s="1" t="s">
        <v>47</v>
      </c>
      <c r="E223" s="3">
        <v>1</v>
      </c>
      <c r="F223" s="1" t="s">
        <v>48</v>
      </c>
      <c r="G223" s="1">
        <v>1461411</v>
      </c>
      <c r="H223" s="2" t="s">
        <v>55</v>
      </c>
      <c r="I223" s="5" t="s">
        <v>50</v>
      </c>
      <c r="J223" s="1">
        <v>12</v>
      </c>
      <c r="K223" s="13" t="str">
        <f t="shared" si="259"/>
        <v>P</v>
      </c>
      <c r="L223" s="1">
        <v>13</v>
      </c>
      <c r="M223" s="13" t="str">
        <f t="shared" si="260"/>
        <v>P</v>
      </c>
      <c r="AB223" s="7" t="str">
        <f t="shared" si="251"/>
        <v>25</v>
      </c>
      <c r="AC223" s="13" t="str">
        <f t="shared" si="252"/>
        <v>C</v>
      </c>
      <c r="AD223" s="13" t="str">
        <f t="shared" si="263"/>
        <v>213</v>
      </c>
      <c r="AE223" s="1">
        <v>550</v>
      </c>
      <c r="AF223" s="15">
        <f t="shared" si="261"/>
        <v>38.727272727272727</v>
      </c>
      <c r="AG223" s="13" t="str">
        <f t="shared" si="261"/>
        <v>ATKT</v>
      </c>
      <c r="AI223" s="1">
        <v>22</v>
      </c>
      <c r="AJ223" s="15">
        <f t="shared" si="264"/>
        <v>14</v>
      </c>
      <c r="AK223" s="16">
        <f t="shared" si="264"/>
        <v>60</v>
      </c>
      <c r="AL223" s="7">
        <f t="shared" si="264"/>
        <v>0</v>
      </c>
      <c r="AR223" s="7" t="str">
        <f t="shared" si="253"/>
        <v>F</v>
      </c>
      <c r="AS223" s="8">
        <f t="shared" si="254"/>
        <v>5</v>
      </c>
      <c r="AT223" s="8">
        <f t="shared" si="255"/>
        <v>10</v>
      </c>
      <c r="AU223" s="13">
        <f>IF(OR(UPPER(TRIM(AC223))="AB", AC223=901, AC223="901"), 0, IF(ISNUMBER(MATCH(UPPER(TRIM(AC223)), {"A+","A","B+","B","C","D","P"}, 0)), 2, 0))</f>
        <v>2</v>
      </c>
      <c r="AV223" s="13">
        <f t="shared" si="256"/>
        <v>25</v>
      </c>
      <c r="AW223">
        <f t="shared" si="257"/>
        <v>25</v>
      </c>
      <c r="AX223" s="1">
        <f t="shared" si="258"/>
        <v>50</v>
      </c>
      <c r="AY223" s="13">
        <f t="shared" si="262"/>
        <v>213</v>
      </c>
    </row>
    <row r="224" spans="1:51">
      <c r="A224" s="7">
        <v>5390107</v>
      </c>
      <c r="B224" s="7"/>
      <c r="C224" s="33" t="s">
        <v>82</v>
      </c>
      <c r="D224" s="1" t="s">
        <v>47</v>
      </c>
      <c r="E224" s="3">
        <v>1</v>
      </c>
      <c r="F224" s="1" t="s">
        <v>48</v>
      </c>
      <c r="G224" s="1">
        <v>1461412</v>
      </c>
      <c r="H224" s="2" t="s">
        <v>56</v>
      </c>
      <c r="I224" s="5" t="s">
        <v>50</v>
      </c>
      <c r="J224" s="1">
        <v>12</v>
      </c>
      <c r="K224" s="13" t="str">
        <f t="shared" si="259"/>
        <v>P</v>
      </c>
      <c r="L224" s="1">
        <v>901</v>
      </c>
      <c r="M224" s="13" t="str">
        <f t="shared" si="260"/>
        <v>F</v>
      </c>
      <c r="AB224" s="7" t="str">
        <f t="shared" si="251"/>
        <v>12</v>
      </c>
      <c r="AC224" s="13" t="str">
        <f t="shared" si="252"/>
        <v>F</v>
      </c>
      <c r="AD224" s="13" t="str">
        <f t="shared" si="263"/>
        <v>213</v>
      </c>
      <c r="AE224" s="1">
        <v>550</v>
      </c>
      <c r="AF224" s="15">
        <f t="shared" si="261"/>
        <v>38.727272727272727</v>
      </c>
      <c r="AG224" s="13" t="str">
        <f t="shared" si="261"/>
        <v>ATKT</v>
      </c>
      <c r="AI224" s="1">
        <v>22</v>
      </c>
      <c r="AJ224" s="15">
        <f t="shared" si="264"/>
        <v>14</v>
      </c>
      <c r="AK224" s="16">
        <f t="shared" si="264"/>
        <v>60</v>
      </c>
      <c r="AL224" s="7">
        <f t="shared" si="264"/>
        <v>0</v>
      </c>
      <c r="AR224" s="7" t="str">
        <f t="shared" si="253"/>
        <v>F</v>
      </c>
      <c r="AS224" s="8">
        <f t="shared" si="254"/>
        <v>0</v>
      </c>
      <c r="AT224" s="8">
        <f t="shared" si="255"/>
        <v>0</v>
      </c>
      <c r="AU224" s="13">
        <f>IF(OR(UPPER(TRIM(AC224))="AB", AC224=901, AC224="901"), 0, IF(ISNUMBER(MATCH(UPPER(TRIM(AC224)), {"A+","A","B+","B","C","D","P"}, 0)), 2, 0))</f>
        <v>0</v>
      </c>
      <c r="AV224" s="13">
        <f t="shared" si="256"/>
        <v>12</v>
      </c>
      <c r="AW224">
        <f t="shared" si="257"/>
        <v>12</v>
      </c>
      <c r="AX224" s="1">
        <f t="shared" si="258"/>
        <v>24</v>
      </c>
      <c r="AY224" s="13">
        <f t="shared" si="262"/>
        <v>213</v>
      </c>
    </row>
    <row r="225" spans="1:51">
      <c r="A225" s="7">
        <v>5390107</v>
      </c>
      <c r="B225" s="7"/>
      <c r="C225" s="33" t="s">
        <v>82</v>
      </c>
      <c r="D225" s="1" t="s">
        <v>47</v>
      </c>
      <c r="E225" s="3">
        <v>1</v>
      </c>
      <c r="F225" s="1" t="s">
        <v>48</v>
      </c>
      <c r="G225" s="1">
        <v>2511515</v>
      </c>
      <c r="H225" s="2" t="s">
        <v>57</v>
      </c>
      <c r="I225" s="5" t="s">
        <v>50</v>
      </c>
      <c r="J225" s="1">
        <v>12</v>
      </c>
      <c r="K225" s="13" t="str">
        <f t="shared" si="259"/>
        <v>P</v>
      </c>
      <c r="L225" s="1">
        <v>12</v>
      </c>
      <c r="M225" s="13" t="str">
        <f t="shared" si="260"/>
        <v>P</v>
      </c>
      <c r="AB225" s="7" t="str">
        <f t="shared" si="251"/>
        <v>24</v>
      </c>
      <c r="AC225" s="13" t="str">
        <f t="shared" si="252"/>
        <v>D</v>
      </c>
      <c r="AD225" s="13" t="str">
        <f t="shared" si="263"/>
        <v>213</v>
      </c>
      <c r="AE225" s="1">
        <v>550</v>
      </c>
      <c r="AF225" s="15">
        <f t="shared" si="261"/>
        <v>38.727272727272727</v>
      </c>
      <c r="AG225" s="13" t="str">
        <f t="shared" si="261"/>
        <v>ATKT</v>
      </c>
      <c r="AI225" s="1">
        <v>22</v>
      </c>
      <c r="AJ225" s="15">
        <f t="shared" si="264"/>
        <v>14</v>
      </c>
      <c r="AK225" s="16">
        <f t="shared" si="264"/>
        <v>60</v>
      </c>
      <c r="AL225" s="7">
        <f t="shared" si="264"/>
        <v>0</v>
      </c>
      <c r="AR225" s="7" t="str">
        <f t="shared" si="253"/>
        <v>F</v>
      </c>
      <c r="AS225" s="8">
        <f t="shared" si="254"/>
        <v>4</v>
      </c>
      <c r="AT225" s="8">
        <f t="shared" si="255"/>
        <v>8</v>
      </c>
      <c r="AU225" s="13">
        <f>IF(OR(UPPER(TRIM(AC225))="AB", AC225=901, AC225="901"), 0, IF(ISNUMBER(MATCH(UPPER(TRIM(AC225)), {"A+","A","B+","B","C","D","P"}, 0)), 2, 0))</f>
        <v>2</v>
      </c>
      <c r="AV225" s="13">
        <f t="shared" si="256"/>
        <v>24</v>
      </c>
      <c r="AW225">
        <f t="shared" si="257"/>
        <v>24</v>
      </c>
      <c r="AX225" s="1">
        <f t="shared" si="258"/>
        <v>48</v>
      </c>
      <c r="AY225" s="13">
        <f t="shared" si="262"/>
        <v>213</v>
      </c>
    </row>
    <row r="226" spans="1:51">
      <c r="A226" s="7">
        <v>5390107</v>
      </c>
      <c r="B226" s="7"/>
      <c r="C226" s="33" t="s">
        <v>82</v>
      </c>
      <c r="D226" s="1" t="s">
        <v>47</v>
      </c>
      <c r="E226" s="3">
        <v>1</v>
      </c>
      <c r="F226" s="1" t="s">
        <v>48</v>
      </c>
      <c r="G226" s="1">
        <v>2521615</v>
      </c>
      <c r="H226" s="4" t="s">
        <v>58</v>
      </c>
      <c r="I226" s="5" t="s">
        <v>50</v>
      </c>
      <c r="J226" s="1">
        <v>10</v>
      </c>
      <c r="K226" s="13" t="str">
        <f t="shared" si="259"/>
        <v>P</v>
      </c>
      <c r="L226" s="1">
        <v>12</v>
      </c>
      <c r="M226" s="13" t="str">
        <f t="shared" si="260"/>
        <v>P</v>
      </c>
      <c r="AB226" s="7" t="str">
        <f t="shared" si="251"/>
        <v>22</v>
      </c>
      <c r="AC226" s="13" t="str">
        <f t="shared" si="252"/>
        <v>D</v>
      </c>
      <c r="AD226" s="13" t="str">
        <f t="shared" si="263"/>
        <v>213</v>
      </c>
      <c r="AE226" s="1">
        <v>550</v>
      </c>
      <c r="AF226" s="15">
        <f t="shared" si="261"/>
        <v>38.727272727272727</v>
      </c>
      <c r="AG226" s="13" t="str">
        <f t="shared" si="261"/>
        <v>ATKT</v>
      </c>
      <c r="AI226" s="1">
        <v>22</v>
      </c>
      <c r="AJ226" s="15">
        <f t="shared" si="264"/>
        <v>14</v>
      </c>
      <c r="AK226" s="16">
        <f t="shared" si="264"/>
        <v>60</v>
      </c>
      <c r="AL226" s="7">
        <f t="shared" si="264"/>
        <v>0</v>
      </c>
      <c r="AR226" s="7" t="str">
        <f t="shared" si="253"/>
        <v>F</v>
      </c>
      <c r="AS226" s="8">
        <f t="shared" si="254"/>
        <v>4</v>
      </c>
      <c r="AT226" s="8">
        <f t="shared" si="255"/>
        <v>8</v>
      </c>
      <c r="AU226" s="13">
        <f>IF(OR(UPPER(TRIM(AC226))="AB", AC226=901, AC226="901"), 0, IF(ISNUMBER(MATCH(UPPER(TRIM(AC226)), {"A+","A","B+","B","C","D","P"}, 0)), 2, 0))</f>
        <v>2</v>
      </c>
      <c r="AV226" s="13">
        <f t="shared" si="256"/>
        <v>22</v>
      </c>
      <c r="AW226">
        <f t="shared" si="257"/>
        <v>22</v>
      </c>
      <c r="AX226" s="1">
        <f t="shared" si="258"/>
        <v>44</v>
      </c>
      <c r="AY226" s="13">
        <f t="shared" si="262"/>
        <v>213</v>
      </c>
    </row>
    <row r="227" spans="1:51">
      <c r="A227" s="7">
        <v>5390107</v>
      </c>
      <c r="B227" s="7"/>
      <c r="C227" s="33" t="s">
        <v>82</v>
      </c>
      <c r="D227" s="1" t="s">
        <v>47</v>
      </c>
      <c r="E227" s="3">
        <v>1</v>
      </c>
      <c r="F227" s="1" t="s">
        <v>48</v>
      </c>
      <c r="G227" s="1">
        <v>2531511</v>
      </c>
      <c r="H227" s="2" t="s">
        <v>59</v>
      </c>
      <c r="I227" s="5" t="s">
        <v>50</v>
      </c>
      <c r="J227" s="1">
        <v>14</v>
      </c>
      <c r="K227" s="13" t="str">
        <f t="shared" si="259"/>
        <v>P</v>
      </c>
      <c r="L227" s="1">
        <v>12</v>
      </c>
      <c r="M227" s="13" t="str">
        <f t="shared" si="260"/>
        <v>P</v>
      </c>
      <c r="AB227" s="7" t="str">
        <f t="shared" si="251"/>
        <v>26</v>
      </c>
      <c r="AC227" s="13" t="str">
        <f t="shared" si="252"/>
        <v>C</v>
      </c>
      <c r="AD227" s="13" t="str">
        <f t="shared" si="263"/>
        <v>213</v>
      </c>
      <c r="AE227" s="1">
        <v>550</v>
      </c>
      <c r="AF227" s="15">
        <f t="shared" si="261"/>
        <v>38.727272727272727</v>
      </c>
      <c r="AG227" s="13" t="str">
        <f t="shared" si="261"/>
        <v>ATKT</v>
      </c>
      <c r="AI227" s="1">
        <v>22</v>
      </c>
      <c r="AJ227" s="15">
        <f t="shared" si="264"/>
        <v>14</v>
      </c>
      <c r="AK227" s="16">
        <f t="shared" si="264"/>
        <v>60</v>
      </c>
      <c r="AL227" s="7">
        <f t="shared" si="264"/>
        <v>0</v>
      </c>
      <c r="AR227" s="7" t="str">
        <f t="shared" si="253"/>
        <v>F</v>
      </c>
      <c r="AS227" s="8">
        <f t="shared" si="254"/>
        <v>5</v>
      </c>
      <c r="AT227" s="8">
        <f t="shared" si="255"/>
        <v>10</v>
      </c>
      <c r="AU227" s="13">
        <f>IF(OR(UPPER(TRIM(AC227))="AB", AC227=901, AC227="901"), 0, IF(ISNUMBER(MATCH(UPPER(TRIM(AC227)), {"A+","A","B+","B","C","D","P"}, 0)), 2, 0))</f>
        <v>2</v>
      </c>
      <c r="AV227" s="13">
        <f t="shared" si="256"/>
        <v>26</v>
      </c>
      <c r="AW227">
        <f t="shared" si="257"/>
        <v>26</v>
      </c>
      <c r="AX227" s="1">
        <f t="shared" si="258"/>
        <v>52</v>
      </c>
      <c r="AY227" s="13">
        <f t="shared" si="262"/>
        <v>213</v>
      </c>
    </row>
    <row r="228" spans="1:51">
      <c r="A228" s="7">
        <v>5390107</v>
      </c>
      <c r="B228" s="7"/>
      <c r="C228" s="33" t="s">
        <v>82</v>
      </c>
      <c r="D228" s="1" t="s">
        <v>47</v>
      </c>
      <c r="E228" s="3">
        <v>1</v>
      </c>
      <c r="F228" s="1" t="s">
        <v>48</v>
      </c>
      <c r="G228" s="1">
        <v>2541515</v>
      </c>
      <c r="H228" s="2" t="s">
        <v>60</v>
      </c>
      <c r="I228" s="5" t="s">
        <v>50</v>
      </c>
      <c r="J228" s="1">
        <v>14</v>
      </c>
      <c r="K228" s="13" t="str">
        <f t="shared" si="259"/>
        <v>P</v>
      </c>
      <c r="L228" s="6">
        <v>0</v>
      </c>
      <c r="M228" s="13" t="str">
        <f t="shared" si="260"/>
        <v>F</v>
      </c>
      <c r="AB228" s="7" t="str">
        <f t="shared" si="251"/>
        <v>14</v>
      </c>
      <c r="AC228" s="13" t="str">
        <f t="shared" si="252"/>
        <v>F</v>
      </c>
      <c r="AD228" s="13" t="str">
        <f t="shared" si="263"/>
        <v>213</v>
      </c>
      <c r="AE228" s="1">
        <v>550</v>
      </c>
      <c r="AF228" s="15">
        <f t="shared" si="261"/>
        <v>38.727272727272727</v>
      </c>
      <c r="AG228" s="13" t="str">
        <f t="shared" si="261"/>
        <v>ATKT</v>
      </c>
      <c r="AI228" s="1">
        <v>22</v>
      </c>
      <c r="AJ228" s="15">
        <f t="shared" si="264"/>
        <v>14</v>
      </c>
      <c r="AK228" s="16">
        <f t="shared" si="264"/>
        <v>60</v>
      </c>
      <c r="AL228" s="7">
        <f t="shared" si="264"/>
        <v>0</v>
      </c>
      <c r="AR228" s="7" t="str">
        <f t="shared" si="253"/>
        <v>F</v>
      </c>
      <c r="AS228" s="8">
        <f t="shared" si="254"/>
        <v>0</v>
      </c>
      <c r="AT228" s="8">
        <f t="shared" si="255"/>
        <v>0</v>
      </c>
      <c r="AU228" s="13">
        <f>IF(OR(UPPER(TRIM(AC228))="AB", AC228=901, AC228="901"), 0, IF(ISNUMBER(MATCH(UPPER(TRIM(AC228)), {"A+","A","B+","B","C","D","P"}, 0)), 2, 0))</f>
        <v>0</v>
      </c>
      <c r="AV228" s="13">
        <f t="shared" si="256"/>
        <v>14</v>
      </c>
      <c r="AW228">
        <f t="shared" si="257"/>
        <v>14</v>
      </c>
      <c r="AX228" s="1">
        <f t="shared" si="258"/>
        <v>28.000000000000004</v>
      </c>
      <c r="AY228" s="13">
        <f t="shared" si="262"/>
        <v>213</v>
      </c>
    </row>
    <row r="230" spans="1:51">
      <c r="A230" s="7">
        <v>5240678</v>
      </c>
      <c r="B230" s="7"/>
      <c r="C230" s="33" t="s">
        <v>83</v>
      </c>
      <c r="D230" s="1" t="s">
        <v>47</v>
      </c>
      <c r="E230" s="3">
        <v>1</v>
      </c>
      <c r="F230" s="1" t="s">
        <v>48</v>
      </c>
      <c r="G230" s="1">
        <v>1011312</v>
      </c>
      <c r="H230" s="2" t="s">
        <v>49</v>
      </c>
      <c r="I230" s="5" t="s">
        <v>50</v>
      </c>
      <c r="J230" s="6">
        <v>14</v>
      </c>
      <c r="K230" s="13" t="str">
        <f>IF(OR(UPPER(TRIM(J230))="AB",J230=901,J230="901"),"F",IF(J230&gt;=8,"P","F"))</f>
        <v>P</v>
      </c>
      <c r="L230" s="1">
        <v>16</v>
      </c>
      <c r="M230" s="13" t="str">
        <f>IF(OR(UPPER(TRIM(L230))="AB",L230=901,L230="901"),"F",IF(L230&gt;=8,"P","F"))</f>
        <v>P</v>
      </c>
      <c r="N230" s="13"/>
      <c r="O230" s="13"/>
      <c r="P230" s="13"/>
      <c r="Q230" s="13"/>
      <c r="R230" s="13"/>
      <c r="S230" s="13"/>
      <c r="T230" s="13"/>
      <c r="U230" s="13"/>
      <c r="V230" s="13"/>
      <c r="W230" s="13"/>
      <c r="X230" s="13"/>
      <c r="Y230" s="13"/>
      <c r="Z230" s="13"/>
      <c r="AB230" s="7" t="str">
        <f t="shared" ref="AB230:AB240" si="265">AV230 &amp; IF(AA230&lt;&gt;"", " @ " &amp; AA230, "")</f>
        <v>30</v>
      </c>
      <c r="AC230" s="13" t="str">
        <f t="shared" ref="AC230:AC240" si="266">IF(AX230&gt;=90,"O",
IF(AX230&gt;=80,"A+",
IF(AX230&gt;=70,"A",
IF(AX230&gt;=60,"B+",
IF(AX230&gt;=55,"B",
IF(AX230&gt;=50,"C",
IF(AX230&gt;=40,"D","F")))))))</f>
        <v>B+</v>
      </c>
      <c r="AD230" s="13" t="str">
        <f>SUM(AV230:AV240) &amp; IF(SUM(AA230:AA240)&gt;0, " @ " &amp; SUM(AA230:AA240), "")</f>
        <v>232</v>
      </c>
      <c r="AE230" s="1">
        <v>550</v>
      </c>
      <c r="AF230" s="15">
        <f>AY230/AE230*100</f>
        <v>42.18181818181818</v>
      </c>
      <c r="AG230" s="13" t="str" cm="1">
        <f t="array" ref="AG230">IF(
  SUMPRODUCT(--(IFERROR(VALUE(J230:J240),9999)&lt;8))
  + SUMPRODUCT(--(IFERROR(VALUE(L230:L240),9999)&lt;12))
  + COUNTIF(J230:J240,"AB") + COUNTIF(L230:L240,"AB")
  + COUNTIF(J230:J240,901) + COUNTIF(L230:L240,901) &gt; 0,
  "ATKT",
  "PASS"
)</f>
        <v>ATKT</v>
      </c>
      <c r="AI230" s="1">
        <v>22</v>
      </c>
      <c r="AJ230" s="15">
        <f>SUM(AU230:AU240)</f>
        <v>12</v>
      </c>
      <c r="AK230" s="16">
        <f>SUM(AT230:AT240)</f>
        <v>68</v>
      </c>
      <c r="AL230" s="7">
        <f>IF(UPPER(TRIM(AG230))="ATKT",0,ROUND( (SUM(AT230:AT240) /22), 2))</f>
        <v>0</v>
      </c>
      <c r="AR230" s="7" t="str">
        <f t="shared" ref="AR230:AR240" si="267">IF(AL230&gt;=9,"O", IF(AL230&gt;=8,"A+", IF(AL230&gt;=7,"A", IF(AL230&gt;=6,"B+", IF(AL230&gt;=5.5,"B", IF(AL230&gt;=5,"C", IF(AL230&gt;=4,"D","F")))))))</f>
        <v>F</v>
      </c>
      <c r="AS230" s="8">
        <f t="shared" ref="AS230:AS240" si="268">IF(AX230&gt;=90,10,
IF(AX230&gt;=80,9,
IF(AX230&gt;=70,8,
IF(AX230&gt;=60,7,
IF(AX230&gt;=55,6,
IF(AX230&gt;=50,5,
IF(AX230&gt;=40,4,0)))))))</f>
        <v>7</v>
      </c>
      <c r="AT230" s="8">
        <f t="shared" ref="AT230:AT240" si="269">AS230*I230</f>
        <v>14</v>
      </c>
      <c r="AU230" s="13">
        <f>IF(OR(UPPER(TRIM(AC230))="AB", AC230=901, AC230="901"), 0, IF(ISNUMBER(MATCH(UPPER(TRIM(AC230)), {"A+","A","B+","B","C","D","P"}, 0)), 2, 0))</f>
        <v>2</v>
      </c>
      <c r="AV230" s="13">
        <f t="shared" ref="AV230:AV240" si="270">SUM(
IF(OR(UPPER(TRIM(J230))="AB",J230=901,J230="901"),0,IFERROR(VALUE(J230),0)),
IF(OR(UPPER(TRIM(L230))="AB",L230=901,L230="901"),0,IFERROR(VALUE(L230),0)),
IF(OR(UPPER(TRIM(N230))="AB",N230=901,N230="901"),0,IFERROR(VALUE(N230),0))
)</f>
        <v>30</v>
      </c>
      <c r="AW230">
        <f t="shared" ref="AW230:AW240" si="271">AA230+AV230</f>
        <v>30</v>
      </c>
      <c r="AX230" s="1">
        <f t="shared" ref="AX230:AX240" si="272">(AW230 / 50) * 100</f>
        <v>60</v>
      </c>
      <c r="AY230" s="13">
        <f>SUM(AW230:AW240)</f>
        <v>232</v>
      </c>
    </row>
    <row r="231" spans="1:51">
      <c r="A231" s="7">
        <v>5240678</v>
      </c>
      <c r="B231" s="7"/>
      <c r="C231" s="33" t="s">
        <v>83</v>
      </c>
      <c r="D231" s="1" t="s">
        <v>47</v>
      </c>
      <c r="E231" s="3">
        <v>1</v>
      </c>
      <c r="F231" s="1" t="s">
        <v>48</v>
      </c>
      <c r="G231" s="1">
        <v>1171312</v>
      </c>
      <c r="H231" s="2" t="s">
        <v>51</v>
      </c>
      <c r="I231" s="5" t="s">
        <v>50</v>
      </c>
      <c r="J231" s="1">
        <v>18</v>
      </c>
      <c r="K231" s="13" t="str">
        <f t="shared" ref="K231:K240" si="273">IF(OR(UPPER(TRIM(J231))="AB",J231=901,J231="901"),"F",IF(J231&gt;=8,"P","F"))</f>
        <v>P</v>
      </c>
      <c r="L231" s="1">
        <v>0</v>
      </c>
      <c r="M231" s="13" t="str">
        <f t="shared" ref="M231:M240" si="274">IF(OR(UPPER(TRIM(L231))="AB",L231=901,L231="901"),"F",IF(L231&gt;=8,"P","F"))</f>
        <v>F</v>
      </c>
      <c r="AB231" s="7" t="str">
        <f t="shared" si="265"/>
        <v>18</v>
      </c>
      <c r="AC231" s="13" t="str">
        <f t="shared" si="266"/>
        <v>F</v>
      </c>
      <c r="AD231" s="13" t="str">
        <f>AD230</f>
        <v>232</v>
      </c>
      <c r="AE231" s="1">
        <v>550</v>
      </c>
      <c r="AF231" s="15">
        <f t="shared" ref="AF231:AG240" si="275">AF230</f>
        <v>42.18181818181818</v>
      </c>
      <c r="AG231" s="13" t="str">
        <f t="shared" si="275"/>
        <v>ATKT</v>
      </c>
      <c r="AI231" s="1">
        <v>22</v>
      </c>
      <c r="AJ231" s="15">
        <f>AJ230</f>
        <v>12</v>
      </c>
      <c r="AK231" s="16">
        <f>AK230</f>
        <v>68</v>
      </c>
      <c r="AL231" s="7">
        <f>AL230</f>
        <v>0</v>
      </c>
      <c r="AR231" s="7" t="str">
        <f t="shared" si="267"/>
        <v>F</v>
      </c>
      <c r="AS231" s="8">
        <f t="shared" si="268"/>
        <v>0</v>
      </c>
      <c r="AT231" s="8">
        <f t="shared" si="269"/>
        <v>0</v>
      </c>
      <c r="AU231" s="13">
        <f>IF(OR(UPPER(TRIM(AC231))="AB", AC231=901, AC231="901"), 0, IF(ISNUMBER(MATCH(UPPER(TRIM(AC231)), {"A+","A","B+","B","C","D","P"}, 0)), 2, 0))</f>
        <v>0</v>
      </c>
      <c r="AV231" s="13">
        <f t="shared" si="270"/>
        <v>18</v>
      </c>
      <c r="AW231">
        <f t="shared" si="271"/>
        <v>18</v>
      </c>
      <c r="AX231" s="1">
        <f t="shared" si="272"/>
        <v>36</v>
      </c>
      <c r="AY231" s="13">
        <f t="shared" ref="AY231:AY240" si="276">AY230</f>
        <v>232</v>
      </c>
    </row>
    <row r="232" spans="1:51">
      <c r="A232" s="7">
        <v>5240678</v>
      </c>
      <c r="B232" s="7"/>
      <c r="C232" s="33" t="s">
        <v>83</v>
      </c>
      <c r="D232" s="1" t="s">
        <v>47</v>
      </c>
      <c r="E232" s="3">
        <v>1</v>
      </c>
      <c r="F232" s="1" t="s">
        <v>48</v>
      </c>
      <c r="G232" s="1">
        <v>1461111</v>
      </c>
      <c r="H232" s="2" t="s">
        <v>52</v>
      </c>
      <c r="I232" s="5" t="s">
        <v>50</v>
      </c>
      <c r="J232" s="1">
        <v>10</v>
      </c>
      <c r="K232" s="13" t="str">
        <f t="shared" si="273"/>
        <v>P</v>
      </c>
      <c r="L232" s="1">
        <v>0</v>
      </c>
      <c r="M232" s="13" t="str">
        <f t="shared" si="274"/>
        <v>F</v>
      </c>
      <c r="AB232" s="7" t="str">
        <f t="shared" si="265"/>
        <v>10</v>
      </c>
      <c r="AC232" s="13" t="str">
        <f t="shared" si="266"/>
        <v>F</v>
      </c>
      <c r="AD232" s="13" t="str">
        <f t="shared" ref="AD232:AD240" si="277">AD231</f>
        <v>232</v>
      </c>
      <c r="AE232" s="1">
        <v>550</v>
      </c>
      <c r="AF232" s="15">
        <f t="shared" si="275"/>
        <v>42.18181818181818</v>
      </c>
      <c r="AG232" s="13" t="str">
        <f t="shared" si="275"/>
        <v>ATKT</v>
      </c>
      <c r="AI232" s="1">
        <v>22</v>
      </c>
      <c r="AJ232" s="15">
        <f t="shared" ref="AJ232:AL240" si="278">AJ231</f>
        <v>12</v>
      </c>
      <c r="AK232" s="16">
        <f t="shared" si="278"/>
        <v>68</v>
      </c>
      <c r="AL232" s="7">
        <f t="shared" si="278"/>
        <v>0</v>
      </c>
      <c r="AR232" s="7" t="str">
        <f t="shared" si="267"/>
        <v>F</v>
      </c>
      <c r="AS232" s="8">
        <f t="shared" si="268"/>
        <v>0</v>
      </c>
      <c r="AT232" s="8">
        <f t="shared" si="269"/>
        <v>0</v>
      </c>
      <c r="AU232" s="13">
        <f>IF(OR(UPPER(TRIM(AC232))="AB", AC232=901, AC232="901"), 0, IF(ISNUMBER(MATCH(UPPER(TRIM(AC232)), {"A+","A","B+","B","C","D","P"}, 0)), 2, 0))</f>
        <v>0</v>
      </c>
      <c r="AV232" s="13">
        <f t="shared" si="270"/>
        <v>10</v>
      </c>
      <c r="AW232">
        <f t="shared" si="271"/>
        <v>10</v>
      </c>
      <c r="AX232" s="1">
        <f t="shared" si="272"/>
        <v>20</v>
      </c>
      <c r="AY232" s="13">
        <f t="shared" si="276"/>
        <v>232</v>
      </c>
    </row>
    <row r="233" spans="1:51">
      <c r="A233" s="7">
        <v>5240678</v>
      </c>
      <c r="B233" s="7"/>
      <c r="C233" s="33" t="s">
        <v>83</v>
      </c>
      <c r="D233" s="1" t="s">
        <v>47</v>
      </c>
      <c r="E233" s="3">
        <v>1</v>
      </c>
      <c r="F233" s="1" t="s">
        <v>48</v>
      </c>
      <c r="G233" s="1">
        <v>1461112</v>
      </c>
      <c r="H233" s="2" t="s">
        <v>53</v>
      </c>
      <c r="I233" s="5" t="s">
        <v>50</v>
      </c>
      <c r="J233" s="1">
        <v>10</v>
      </c>
      <c r="K233" s="13" t="str">
        <f t="shared" si="273"/>
        <v>P</v>
      </c>
      <c r="L233" s="1">
        <v>3</v>
      </c>
      <c r="M233" s="13" t="str">
        <f t="shared" si="274"/>
        <v>F</v>
      </c>
      <c r="AB233" s="7" t="str">
        <f t="shared" si="265"/>
        <v>13</v>
      </c>
      <c r="AC233" s="13" t="str">
        <f t="shared" si="266"/>
        <v>F</v>
      </c>
      <c r="AD233" s="13" t="str">
        <f t="shared" si="277"/>
        <v>232</v>
      </c>
      <c r="AE233" s="1">
        <v>550</v>
      </c>
      <c r="AF233" s="15">
        <f t="shared" si="275"/>
        <v>42.18181818181818</v>
      </c>
      <c r="AG233" s="13" t="str">
        <f t="shared" si="275"/>
        <v>ATKT</v>
      </c>
      <c r="AI233" s="1">
        <v>22</v>
      </c>
      <c r="AJ233" s="15">
        <f t="shared" si="278"/>
        <v>12</v>
      </c>
      <c r="AK233" s="16">
        <f t="shared" si="278"/>
        <v>68</v>
      </c>
      <c r="AL233" s="7">
        <f t="shared" si="278"/>
        <v>0</v>
      </c>
      <c r="AR233" s="7" t="str">
        <f t="shared" si="267"/>
        <v>F</v>
      </c>
      <c r="AS233" s="8">
        <f t="shared" si="268"/>
        <v>0</v>
      </c>
      <c r="AT233" s="8">
        <f t="shared" si="269"/>
        <v>0</v>
      </c>
      <c r="AU233" s="13">
        <f>IF(OR(UPPER(TRIM(AC233))="AB", AC233=901, AC233="901"), 0, IF(ISNUMBER(MATCH(UPPER(TRIM(AC233)), {"A+","A","B+","B","C","D","P"}, 0)), 2, 0))</f>
        <v>0</v>
      </c>
      <c r="AV233" s="13">
        <f t="shared" si="270"/>
        <v>13</v>
      </c>
      <c r="AW233">
        <f t="shared" si="271"/>
        <v>13</v>
      </c>
      <c r="AX233" s="1">
        <f t="shared" si="272"/>
        <v>26</v>
      </c>
      <c r="AY233" s="13">
        <f t="shared" si="276"/>
        <v>232</v>
      </c>
    </row>
    <row r="234" spans="1:51">
      <c r="A234" s="7">
        <v>5240678</v>
      </c>
      <c r="B234" s="7"/>
      <c r="C234" s="33" t="s">
        <v>83</v>
      </c>
      <c r="D234" s="1" t="s">
        <v>47</v>
      </c>
      <c r="E234" s="3">
        <v>1</v>
      </c>
      <c r="F234" s="1" t="s">
        <v>48</v>
      </c>
      <c r="G234" s="1">
        <v>1461113</v>
      </c>
      <c r="H234" s="2" t="s">
        <v>54</v>
      </c>
      <c r="I234" s="5" t="s">
        <v>50</v>
      </c>
      <c r="J234" s="1">
        <v>15</v>
      </c>
      <c r="K234" s="13" t="str">
        <f t="shared" si="273"/>
        <v>P</v>
      </c>
      <c r="L234" s="1">
        <v>12</v>
      </c>
      <c r="M234" s="13" t="str">
        <f t="shared" si="274"/>
        <v>P</v>
      </c>
      <c r="AB234" s="7" t="str">
        <f t="shared" si="265"/>
        <v>27</v>
      </c>
      <c r="AC234" s="13" t="str">
        <f t="shared" si="266"/>
        <v>C</v>
      </c>
      <c r="AD234" s="13" t="str">
        <f t="shared" si="277"/>
        <v>232</v>
      </c>
      <c r="AE234" s="1">
        <v>550</v>
      </c>
      <c r="AF234" s="15">
        <f t="shared" si="275"/>
        <v>42.18181818181818</v>
      </c>
      <c r="AG234" s="13" t="str">
        <f t="shared" si="275"/>
        <v>ATKT</v>
      </c>
      <c r="AI234" s="1">
        <v>22</v>
      </c>
      <c r="AJ234" s="15">
        <f t="shared" si="278"/>
        <v>12</v>
      </c>
      <c r="AK234" s="16">
        <f t="shared" si="278"/>
        <v>68</v>
      </c>
      <c r="AL234" s="7">
        <f t="shared" si="278"/>
        <v>0</v>
      </c>
      <c r="AR234" s="7" t="str">
        <f t="shared" si="267"/>
        <v>F</v>
      </c>
      <c r="AS234" s="8">
        <f t="shared" si="268"/>
        <v>5</v>
      </c>
      <c r="AT234" s="8">
        <f t="shared" si="269"/>
        <v>10</v>
      </c>
      <c r="AU234" s="13">
        <f>IF(OR(UPPER(TRIM(AC234))="AB", AC234=901, AC234="901"), 0, IF(ISNUMBER(MATCH(UPPER(TRIM(AC234)), {"A+","A","B+","B","C","D","P"}, 0)), 2, 0))</f>
        <v>2</v>
      </c>
      <c r="AV234" s="13">
        <f t="shared" si="270"/>
        <v>27</v>
      </c>
      <c r="AW234">
        <f t="shared" si="271"/>
        <v>27</v>
      </c>
      <c r="AX234" s="1">
        <f t="shared" si="272"/>
        <v>54</v>
      </c>
      <c r="AY234" s="13">
        <f t="shared" si="276"/>
        <v>232</v>
      </c>
    </row>
    <row r="235" spans="1:51">
      <c r="A235" s="7">
        <v>5240678</v>
      </c>
      <c r="B235" s="7"/>
      <c r="C235" s="33" t="s">
        <v>83</v>
      </c>
      <c r="D235" s="1" t="s">
        <v>47</v>
      </c>
      <c r="E235" s="3">
        <v>1</v>
      </c>
      <c r="F235" s="1" t="s">
        <v>48</v>
      </c>
      <c r="G235" s="1">
        <v>1461411</v>
      </c>
      <c r="H235" s="2" t="s">
        <v>55</v>
      </c>
      <c r="I235" s="5" t="s">
        <v>50</v>
      </c>
      <c r="J235" s="1">
        <v>16</v>
      </c>
      <c r="K235" s="13" t="str">
        <f t="shared" si="273"/>
        <v>P</v>
      </c>
      <c r="L235" s="1">
        <v>12</v>
      </c>
      <c r="M235" s="13" t="str">
        <f t="shared" si="274"/>
        <v>P</v>
      </c>
      <c r="AB235" s="7" t="str">
        <f t="shared" si="265"/>
        <v>28</v>
      </c>
      <c r="AC235" s="13" t="str">
        <f t="shared" si="266"/>
        <v>B</v>
      </c>
      <c r="AD235" s="13" t="str">
        <f t="shared" si="277"/>
        <v>232</v>
      </c>
      <c r="AE235" s="1">
        <v>550</v>
      </c>
      <c r="AF235" s="15">
        <f t="shared" si="275"/>
        <v>42.18181818181818</v>
      </c>
      <c r="AG235" s="13" t="str">
        <f t="shared" si="275"/>
        <v>ATKT</v>
      </c>
      <c r="AI235" s="1">
        <v>22</v>
      </c>
      <c r="AJ235" s="15">
        <f t="shared" si="278"/>
        <v>12</v>
      </c>
      <c r="AK235" s="16">
        <f t="shared" si="278"/>
        <v>68</v>
      </c>
      <c r="AL235" s="7">
        <f t="shared" si="278"/>
        <v>0</v>
      </c>
      <c r="AR235" s="7" t="str">
        <f t="shared" si="267"/>
        <v>F</v>
      </c>
      <c r="AS235" s="8">
        <f t="shared" si="268"/>
        <v>6</v>
      </c>
      <c r="AT235" s="8">
        <f t="shared" si="269"/>
        <v>12</v>
      </c>
      <c r="AU235" s="13">
        <f>IF(OR(UPPER(TRIM(AC235))="AB", AC235=901, AC235="901"), 0, IF(ISNUMBER(MATCH(UPPER(TRIM(AC235)), {"A+","A","B+","B","C","D","P"}, 0)), 2, 0))</f>
        <v>2</v>
      </c>
      <c r="AV235" s="13">
        <f t="shared" si="270"/>
        <v>28</v>
      </c>
      <c r="AW235">
        <f t="shared" si="271"/>
        <v>28</v>
      </c>
      <c r="AX235" s="1">
        <f t="shared" si="272"/>
        <v>56.000000000000007</v>
      </c>
      <c r="AY235" s="13">
        <f t="shared" si="276"/>
        <v>232</v>
      </c>
    </row>
    <row r="236" spans="1:51">
      <c r="A236" s="7">
        <v>5240678</v>
      </c>
      <c r="B236" s="7"/>
      <c r="C236" s="33" t="s">
        <v>83</v>
      </c>
      <c r="D236" s="1" t="s">
        <v>47</v>
      </c>
      <c r="E236" s="3">
        <v>1</v>
      </c>
      <c r="F236" s="1" t="s">
        <v>48</v>
      </c>
      <c r="G236" s="1">
        <v>1461412</v>
      </c>
      <c r="H236" s="2" t="s">
        <v>56</v>
      </c>
      <c r="I236" s="5" t="s">
        <v>50</v>
      </c>
      <c r="J236" s="1">
        <v>10</v>
      </c>
      <c r="K236" s="13" t="str">
        <f t="shared" si="273"/>
        <v>P</v>
      </c>
      <c r="L236" s="1">
        <v>0</v>
      </c>
      <c r="M236" s="13" t="str">
        <f t="shared" si="274"/>
        <v>F</v>
      </c>
      <c r="AB236" s="7" t="str">
        <f t="shared" si="265"/>
        <v>10</v>
      </c>
      <c r="AC236" s="13" t="str">
        <f t="shared" si="266"/>
        <v>F</v>
      </c>
      <c r="AD236" s="13" t="str">
        <f t="shared" si="277"/>
        <v>232</v>
      </c>
      <c r="AE236" s="1">
        <v>550</v>
      </c>
      <c r="AF236" s="15">
        <f t="shared" si="275"/>
        <v>42.18181818181818</v>
      </c>
      <c r="AG236" s="13" t="str">
        <f t="shared" si="275"/>
        <v>ATKT</v>
      </c>
      <c r="AI236" s="1">
        <v>22</v>
      </c>
      <c r="AJ236" s="15">
        <f t="shared" si="278"/>
        <v>12</v>
      </c>
      <c r="AK236" s="16">
        <f t="shared" si="278"/>
        <v>68</v>
      </c>
      <c r="AL236" s="7">
        <f t="shared" si="278"/>
        <v>0</v>
      </c>
      <c r="AR236" s="7" t="str">
        <f t="shared" si="267"/>
        <v>F</v>
      </c>
      <c r="AS236" s="8">
        <f t="shared" si="268"/>
        <v>0</v>
      </c>
      <c r="AT236" s="8">
        <f t="shared" si="269"/>
        <v>0</v>
      </c>
      <c r="AU236" s="13">
        <f>IF(OR(UPPER(TRIM(AC236))="AB", AC236=901, AC236="901"), 0, IF(ISNUMBER(MATCH(UPPER(TRIM(AC236)), {"A+","A","B+","B","C","D","P"}, 0)), 2, 0))</f>
        <v>0</v>
      </c>
      <c r="AV236" s="13">
        <f t="shared" si="270"/>
        <v>10</v>
      </c>
      <c r="AW236">
        <f t="shared" si="271"/>
        <v>10</v>
      </c>
      <c r="AX236" s="1">
        <f t="shared" si="272"/>
        <v>20</v>
      </c>
      <c r="AY236" s="13">
        <f t="shared" si="276"/>
        <v>232</v>
      </c>
    </row>
    <row r="237" spans="1:51">
      <c r="A237" s="7">
        <v>5240678</v>
      </c>
      <c r="B237" s="7"/>
      <c r="C237" s="33" t="s">
        <v>83</v>
      </c>
      <c r="D237" s="1" t="s">
        <v>47</v>
      </c>
      <c r="E237" s="3">
        <v>1</v>
      </c>
      <c r="F237" s="1" t="s">
        <v>48</v>
      </c>
      <c r="G237" s="1">
        <v>2511515</v>
      </c>
      <c r="H237" s="2" t="s">
        <v>57</v>
      </c>
      <c r="I237" s="5" t="s">
        <v>50</v>
      </c>
      <c r="J237" s="1">
        <v>10</v>
      </c>
      <c r="K237" s="13" t="str">
        <f t="shared" si="273"/>
        <v>P</v>
      </c>
      <c r="L237" s="1">
        <v>12</v>
      </c>
      <c r="M237" s="13" t="str">
        <f t="shared" si="274"/>
        <v>P</v>
      </c>
      <c r="AB237" s="7" t="str">
        <f t="shared" si="265"/>
        <v>22</v>
      </c>
      <c r="AC237" s="13" t="str">
        <f t="shared" si="266"/>
        <v>D</v>
      </c>
      <c r="AD237" s="13" t="str">
        <f t="shared" si="277"/>
        <v>232</v>
      </c>
      <c r="AE237" s="1">
        <v>550</v>
      </c>
      <c r="AF237" s="15">
        <f t="shared" si="275"/>
        <v>42.18181818181818</v>
      </c>
      <c r="AG237" s="13" t="str">
        <f t="shared" si="275"/>
        <v>ATKT</v>
      </c>
      <c r="AI237" s="1">
        <v>22</v>
      </c>
      <c r="AJ237" s="15">
        <f t="shared" si="278"/>
        <v>12</v>
      </c>
      <c r="AK237" s="16">
        <f t="shared" si="278"/>
        <v>68</v>
      </c>
      <c r="AL237" s="7">
        <f t="shared" si="278"/>
        <v>0</v>
      </c>
      <c r="AR237" s="7" t="str">
        <f t="shared" si="267"/>
        <v>F</v>
      </c>
      <c r="AS237" s="8">
        <f t="shared" si="268"/>
        <v>4</v>
      </c>
      <c r="AT237" s="8">
        <f t="shared" si="269"/>
        <v>8</v>
      </c>
      <c r="AU237" s="13">
        <f>IF(OR(UPPER(TRIM(AC237))="AB", AC237=901, AC237="901"), 0, IF(ISNUMBER(MATCH(UPPER(TRIM(AC237)), {"A+","A","B+","B","C","D","P"}, 0)), 2, 0))</f>
        <v>2</v>
      </c>
      <c r="AV237" s="13">
        <f t="shared" si="270"/>
        <v>22</v>
      </c>
      <c r="AW237">
        <f t="shared" si="271"/>
        <v>22</v>
      </c>
      <c r="AX237" s="1">
        <f t="shared" si="272"/>
        <v>44</v>
      </c>
      <c r="AY237" s="13">
        <f t="shared" si="276"/>
        <v>232</v>
      </c>
    </row>
    <row r="238" spans="1:51">
      <c r="A238" s="7">
        <v>5240678</v>
      </c>
      <c r="B238" s="7"/>
      <c r="C238" s="33" t="s">
        <v>83</v>
      </c>
      <c r="D238" s="1" t="s">
        <v>47</v>
      </c>
      <c r="E238" s="3">
        <v>1</v>
      </c>
      <c r="F238" s="1" t="s">
        <v>48</v>
      </c>
      <c r="G238" s="1">
        <v>2521615</v>
      </c>
      <c r="H238" s="4" t="s">
        <v>58</v>
      </c>
      <c r="I238" s="5" t="s">
        <v>50</v>
      </c>
      <c r="J238" s="1">
        <v>15</v>
      </c>
      <c r="K238" s="13" t="str">
        <f t="shared" si="273"/>
        <v>P</v>
      </c>
      <c r="L238" s="1">
        <v>15</v>
      </c>
      <c r="M238" s="13" t="str">
        <f t="shared" si="274"/>
        <v>P</v>
      </c>
      <c r="AB238" s="7" t="str">
        <f t="shared" si="265"/>
        <v>30</v>
      </c>
      <c r="AC238" s="13" t="str">
        <f t="shared" si="266"/>
        <v>B+</v>
      </c>
      <c r="AD238" s="13" t="str">
        <f t="shared" si="277"/>
        <v>232</v>
      </c>
      <c r="AE238" s="1">
        <v>550</v>
      </c>
      <c r="AF238" s="15">
        <f t="shared" si="275"/>
        <v>42.18181818181818</v>
      </c>
      <c r="AG238" s="13" t="str">
        <f t="shared" si="275"/>
        <v>ATKT</v>
      </c>
      <c r="AI238" s="1">
        <v>22</v>
      </c>
      <c r="AJ238" s="15">
        <f t="shared" si="278"/>
        <v>12</v>
      </c>
      <c r="AK238" s="16">
        <f t="shared" si="278"/>
        <v>68</v>
      </c>
      <c r="AL238" s="7">
        <f t="shared" si="278"/>
        <v>0</v>
      </c>
      <c r="AR238" s="7" t="str">
        <f t="shared" si="267"/>
        <v>F</v>
      </c>
      <c r="AS238" s="8">
        <f t="shared" si="268"/>
        <v>7</v>
      </c>
      <c r="AT238" s="8">
        <f t="shared" si="269"/>
        <v>14</v>
      </c>
      <c r="AU238" s="13">
        <f>IF(OR(UPPER(TRIM(AC238))="AB", AC238=901, AC238="901"), 0, IF(ISNUMBER(MATCH(UPPER(TRIM(AC238)), {"A+","A","B+","B","C","D","P"}, 0)), 2, 0))</f>
        <v>2</v>
      </c>
      <c r="AV238" s="13">
        <f t="shared" si="270"/>
        <v>30</v>
      </c>
      <c r="AW238">
        <f t="shared" si="271"/>
        <v>30</v>
      </c>
      <c r="AX238" s="1">
        <f t="shared" si="272"/>
        <v>60</v>
      </c>
      <c r="AY238" s="13">
        <f t="shared" si="276"/>
        <v>232</v>
      </c>
    </row>
    <row r="239" spans="1:51">
      <c r="A239" s="7">
        <v>5240678</v>
      </c>
      <c r="B239" s="7"/>
      <c r="C239" s="33" t="s">
        <v>83</v>
      </c>
      <c r="D239" s="1" t="s">
        <v>47</v>
      </c>
      <c r="E239" s="3">
        <v>1</v>
      </c>
      <c r="F239" s="1" t="s">
        <v>48</v>
      </c>
      <c r="G239" s="1">
        <v>2531511</v>
      </c>
      <c r="H239" s="2" t="s">
        <v>59</v>
      </c>
      <c r="I239" s="5" t="s">
        <v>50</v>
      </c>
      <c r="J239" s="1">
        <v>14</v>
      </c>
      <c r="K239" s="13" t="str">
        <f t="shared" si="273"/>
        <v>P</v>
      </c>
      <c r="L239" s="1">
        <v>12</v>
      </c>
      <c r="M239" s="13" t="str">
        <f t="shared" si="274"/>
        <v>P</v>
      </c>
      <c r="AB239" s="7" t="str">
        <f t="shared" si="265"/>
        <v>26</v>
      </c>
      <c r="AC239" s="13" t="str">
        <f t="shared" si="266"/>
        <v>C</v>
      </c>
      <c r="AD239" s="13" t="str">
        <f t="shared" si="277"/>
        <v>232</v>
      </c>
      <c r="AE239" s="1">
        <v>550</v>
      </c>
      <c r="AF239" s="15">
        <f t="shared" si="275"/>
        <v>42.18181818181818</v>
      </c>
      <c r="AG239" s="13" t="str">
        <f t="shared" si="275"/>
        <v>ATKT</v>
      </c>
      <c r="AI239" s="1">
        <v>22</v>
      </c>
      <c r="AJ239" s="15">
        <f t="shared" si="278"/>
        <v>12</v>
      </c>
      <c r="AK239" s="16">
        <f t="shared" si="278"/>
        <v>68</v>
      </c>
      <c r="AL239" s="7">
        <f t="shared" si="278"/>
        <v>0</v>
      </c>
      <c r="AR239" s="7" t="str">
        <f t="shared" si="267"/>
        <v>F</v>
      </c>
      <c r="AS239" s="8">
        <f t="shared" si="268"/>
        <v>5</v>
      </c>
      <c r="AT239" s="8">
        <f t="shared" si="269"/>
        <v>10</v>
      </c>
      <c r="AU239" s="13">
        <f>IF(OR(UPPER(TRIM(AC239))="AB", AC239=901, AC239="901"), 0, IF(ISNUMBER(MATCH(UPPER(TRIM(AC239)), {"A+","A","B+","B","C","D","P"}, 0)), 2, 0))</f>
        <v>2</v>
      </c>
      <c r="AV239" s="13">
        <f t="shared" si="270"/>
        <v>26</v>
      </c>
      <c r="AW239">
        <f t="shared" si="271"/>
        <v>26</v>
      </c>
      <c r="AX239" s="1">
        <f t="shared" si="272"/>
        <v>52</v>
      </c>
      <c r="AY239" s="13">
        <f t="shared" si="276"/>
        <v>232</v>
      </c>
    </row>
    <row r="240" spans="1:51">
      <c r="A240" s="7">
        <v>5240678</v>
      </c>
      <c r="B240" s="7"/>
      <c r="C240" s="33" t="s">
        <v>83</v>
      </c>
      <c r="D240" s="1" t="s">
        <v>47</v>
      </c>
      <c r="E240" s="3">
        <v>1</v>
      </c>
      <c r="F240" s="1" t="s">
        <v>48</v>
      </c>
      <c r="G240" s="1">
        <v>2541515</v>
      </c>
      <c r="H240" s="2" t="s">
        <v>60</v>
      </c>
      <c r="I240" s="5" t="s">
        <v>50</v>
      </c>
      <c r="J240" s="1">
        <v>15</v>
      </c>
      <c r="K240" s="13" t="str">
        <f t="shared" si="273"/>
        <v>P</v>
      </c>
      <c r="L240" s="6">
        <v>3</v>
      </c>
      <c r="M240" s="13" t="str">
        <f t="shared" si="274"/>
        <v>F</v>
      </c>
      <c r="AB240" s="7" t="str">
        <f t="shared" si="265"/>
        <v>18</v>
      </c>
      <c r="AC240" s="13" t="str">
        <f t="shared" si="266"/>
        <v>F</v>
      </c>
      <c r="AD240" s="13" t="str">
        <f t="shared" si="277"/>
        <v>232</v>
      </c>
      <c r="AE240" s="1">
        <v>550</v>
      </c>
      <c r="AF240" s="15">
        <f t="shared" si="275"/>
        <v>42.18181818181818</v>
      </c>
      <c r="AG240" s="13" t="str">
        <f t="shared" si="275"/>
        <v>ATKT</v>
      </c>
      <c r="AI240" s="1">
        <v>22</v>
      </c>
      <c r="AJ240" s="15">
        <f t="shared" si="278"/>
        <v>12</v>
      </c>
      <c r="AK240" s="16">
        <f t="shared" si="278"/>
        <v>68</v>
      </c>
      <c r="AL240" s="7">
        <f t="shared" si="278"/>
        <v>0</v>
      </c>
      <c r="AR240" s="7" t="str">
        <f t="shared" si="267"/>
        <v>F</v>
      </c>
      <c r="AS240" s="8">
        <f t="shared" si="268"/>
        <v>0</v>
      </c>
      <c r="AT240" s="8">
        <f t="shared" si="269"/>
        <v>0</v>
      </c>
      <c r="AU240" s="13">
        <f>IF(OR(UPPER(TRIM(AC240))="AB", AC240=901, AC240="901"), 0, IF(ISNUMBER(MATCH(UPPER(TRIM(AC240)), {"A+","A","B+","B","C","D","P"}, 0)), 2, 0))</f>
        <v>0</v>
      </c>
      <c r="AV240" s="13">
        <f t="shared" si="270"/>
        <v>18</v>
      </c>
      <c r="AW240">
        <f t="shared" si="271"/>
        <v>18</v>
      </c>
      <c r="AX240" s="1">
        <f t="shared" si="272"/>
        <v>36</v>
      </c>
      <c r="AY240" s="13">
        <f t="shared" si="276"/>
        <v>232</v>
      </c>
    </row>
    <row r="242" spans="1:51">
      <c r="A242" s="7">
        <v>5237406</v>
      </c>
      <c r="B242" s="7"/>
      <c r="C242" s="33" t="s">
        <v>84</v>
      </c>
      <c r="D242" s="1" t="s">
        <v>47</v>
      </c>
      <c r="E242" s="3">
        <v>1</v>
      </c>
      <c r="F242" s="1" t="s">
        <v>48</v>
      </c>
      <c r="G242" s="1">
        <v>1011312</v>
      </c>
      <c r="H242" s="2" t="s">
        <v>49</v>
      </c>
      <c r="I242" s="5" t="s">
        <v>50</v>
      </c>
      <c r="J242" s="6">
        <v>13</v>
      </c>
      <c r="K242" s="13" t="str">
        <f>IF(OR(UPPER(TRIM(J242))="AB",J242=901,J242="901"),"F",IF(J242&gt;=8,"P","F"))</f>
        <v>P</v>
      </c>
      <c r="L242" s="1">
        <v>17</v>
      </c>
      <c r="M242" s="13" t="str">
        <f>IF(OR(UPPER(TRIM(L242))="AB",L242=901,L242="901"),"F",IF(L242&gt;=8,"P","F"))</f>
        <v>P</v>
      </c>
      <c r="N242" s="13"/>
      <c r="O242" s="13"/>
      <c r="P242" s="13"/>
      <c r="Q242" s="13"/>
      <c r="R242" s="13"/>
      <c r="S242" s="13"/>
      <c r="T242" s="13"/>
      <c r="U242" s="13"/>
      <c r="V242" s="13"/>
      <c r="W242" s="13"/>
      <c r="X242" s="13"/>
      <c r="Y242" s="13"/>
      <c r="Z242" s="13"/>
      <c r="AB242" s="7" t="str">
        <f t="shared" ref="AB242:AB252" si="279">AV242 &amp; IF(AA242&lt;&gt;"", " @ " &amp; AA242, "")</f>
        <v>30</v>
      </c>
      <c r="AC242" s="13" t="str">
        <f t="shared" ref="AC242:AC252" si="280">IF(AX242&gt;=90,"O",
IF(AX242&gt;=80,"A+",
IF(AX242&gt;=70,"A",
IF(AX242&gt;=60,"B+",
IF(AX242&gt;=55,"B",
IF(AX242&gt;=50,"C",
IF(AX242&gt;=40,"D","F")))))))</f>
        <v>B+</v>
      </c>
      <c r="AD242" s="13" t="str">
        <f>SUM(AV242:AV252) &amp; IF(SUM(AA242:AA252)&gt;0, " @ " &amp; SUM(AA242:AA252), "")</f>
        <v>260</v>
      </c>
      <c r="AE242" s="1">
        <v>550</v>
      </c>
      <c r="AF242" s="15">
        <f>AY242/AE242*100</f>
        <v>47.272727272727273</v>
      </c>
      <c r="AG242" s="13" t="str" cm="1">
        <f t="array" ref="AG242">IF(
  SUMPRODUCT(--(IFERROR(VALUE(J242:J252),9999)&lt;8))
  + SUMPRODUCT(--(IFERROR(VALUE(L242:L252),9999)&lt;12))
  + COUNTIF(J242:J252,"AB") + COUNTIF(L242:L252,"AB")
  + COUNTIF(J242:J252,901) + COUNTIF(L242:L252,901) &gt; 0,
  "ATKT",
  "PASS"
)</f>
        <v>ATKT</v>
      </c>
      <c r="AI242" s="1">
        <v>22</v>
      </c>
      <c r="AJ242" s="15">
        <f>SUM(AU242:AU252)</f>
        <v>14</v>
      </c>
      <c r="AK242" s="16">
        <f>SUM(AT242:AT252)</f>
        <v>82</v>
      </c>
      <c r="AL242" s="7">
        <f>IF(UPPER(TRIM(AG242))="ATKT",0,ROUND( (SUM(AT242:AT252) /22), 2))</f>
        <v>0</v>
      </c>
      <c r="AR242" s="7" t="str">
        <f t="shared" ref="AR242:AR252" si="281">IF(AL242&gt;=9,"O", IF(AL242&gt;=8,"A+", IF(AL242&gt;=7,"A", IF(AL242&gt;=6,"B+", IF(AL242&gt;=5.5,"B", IF(AL242&gt;=5,"C", IF(AL242&gt;=4,"D","F")))))))</f>
        <v>F</v>
      </c>
      <c r="AS242" s="8">
        <f t="shared" ref="AS242:AS252" si="282">IF(AX242&gt;=90,10,
IF(AX242&gt;=80,9,
IF(AX242&gt;=70,8,
IF(AX242&gt;=60,7,
IF(AX242&gt;=55,6,
IF(AX242&gt;=50,5,
IF(AX242&gt;=40,4,0)))))))</f>
        <v>7</v>
      </c>
      <c r="AT242" s="8">
        <f t="shared" ref="AT242:AT252" si="283">AS242*I242</f>
        <v>14</v>
      </c>
      <c r="AU242" s="13">
        <f>IF(OR(UPPER(TRIM(AC242))="AB", AC242=901, AC242="901"), 0, IF(ISNUMBER(MATCH(UPPER(TRIM(AC242)), {"A+","A","B+","B","C","D","P"}, 0)), 2, 0))</f>
        <v>2</v>
      </c>
      <c r="AV242" s="13">
        <f t="shared" ref="AV242:AV252" si="284">SUM(
IF(OR(UPPER(TRIM(J242))="AB",J242=901,J242="901"),0,IFERROR(VALUE(J242),0)),
IF(OR(UPPER(TRIM(L242))="AB",L242=901,L242="901"),0,IFERROR(VALUE(L242),0)),
IF(OR(UPPER(TRIM(N242))="AB",N242=901,N242="901"),0,IFERROR(VALUE(N242),0))
)</f>
        <v>30</v>
      </c>
      <c r="AW242">
        <f t="shared" ref="AW242:AW252" si="285">AA242+AV242</f>
        <v>30</v>
      </c>
      <c r="AX242" s="1">
        <f t="shared" ref="AX242:AX252" si="286">(AW242 / 50) * 100</f>
        <v>60</v>
      </c>
      <c r="AY242" s="13">
        <f>SUM(AW242:AW252)</f>
        <v>260</v>
      </c>
    </row>
    <row r="243" spans="1:51">
      <c r="A243" s="7">
        <v>5237406</v>
      </c>
      <c r="B243" s="7"/>
      <c r="C243" s="33" t="s">
        <v>84</v>
      </c>
      <c r="D243" s="1" t="s">
        <v>47</v>
      </c>
      <c r="E243" s="3">
        <v>1</v>
      </c>
      <c r="F243" s="1" t="s">
        <v>48</v>
      </c>
      <c r="G243" s="1">
        <v>1171312</v>
      </c>
      <c r="H243" s="2" t="s">
        <v>51</v>
      </c>
      <c r="I243" s="5" t="s">
        <v>50</v>
      </c>
      <c r="J243" s="1">
        <v>12</v>
      </c>
      <c r="K243" s="13" t="str">
        <f t="shared" ref="K243:K252" si="287">IF(OR(UPPER(TRIM(J243))="AB",J243=901,J243="901"),"F",IF(J243&gt;=8,"P","F"))</f>
        <v>P</v>
      </c>
      <c r="L243" s="1">
        <v>12</v>
      </c>
      <c r="M243" s="13" t="str">
        <f t="shared" ref="M243:M252" si="288">IF(OR(UPPER(TRIM(L243))="AB",L243=901,L243="901"),"F",IF(L243&gt;=8,"P","F"))</f>
        <v>P</v>
      </c>
      <c r="AB243" s="7" t="str">
        <f t="shared" si="279"/>
        <v>24</v>
      </c>
      <c r="AC243" s="13" t="str">
        <f t="shared" si="280"/>
        <v>D</v>
      </c>
      <c r="AD243" s="13" t="str">
        <f>AD242</f>
        <v>260</v>
      </c>
      <c r="AE243" s="1">
        <v>550</v>
      </c>
      <c r="AF243" s="15">
        <f t="shared" ref="AF243:AG252" si="289">AF242</f>
        <v>47.272727272727273</v>
      </c>
      <c r="AG243" s="13" t="str">
        <f t="shared" si="289"/>
        <v>ATKT</v>
      </c>
      <c r="AI243" s="1">
        <v>22</v>
      </c>
      <c r="AJ243" s="15">
        <f>AJ242</f>
        <v>14</v>
      </c>
      <c r="AK243" s="16">
        <f>AK242</f>
        <v>82</v>
      </c>
      <c r="AL243" s="7">
        <f>AL242</f>
        <v>0</v>
      </c>
      <c r="AR243" s="7" t="str">
        <f t="shared" si="281"/>
        <v>F</v>
      </c>
      <c r="AS243" s="8">
        <f t="shared" si="282"/>
        <v>4</v>
      </c>
      <c r="AT243" s="8">
        <f t="shared" si="283"/>
        <v>8</v>
      </c>
      <c r="AU243" s="13">
        <f>IF(OR(UPPER(TRIM(AC243))="AB", AC243=901, AC243="901"), 0, IF(ISNUMBER(MATCH(UPPER(TRIM(AC243)), {"A+","A","B+","B","C","D","P"}, 0)), 2, 0))</f>
        <v>2</v>
      </c>
      <c r="AV243" s="13">
        <f t="shared" si="284"/>
        <v>24</v>
      </c>
      <c r="AW243">
        <f t="shared" si="285"/>
        <v>24</v>
      </c>
      <c r="AX243" s="1">
        <f t="shared" si="286"/>
        <v>48</v>
      </c>
      <c r="AY243" s="13">
        <f t="shared" ref="AY243:AY252" si="290">AY242</f>
        <v>260</v>
      </c>
    </row>
    <row r="244" spans="1:51">
      <c r="A244" s="7">
        <v>5237406</v>
      </c>
      <c r="B244" s="7"/>
      <c r="C244" s="33" t="s">
        <v>84</v>
      </c>
      <c r="D244" s="1" t="s">
        <v>47</v>
      </c>
      <c r="E244" s="3">
        <v>1</v>
      </c>
      <c r="F244" s="1" t="s">
        <v>48</v>
      </c>
      <c r="G244" s="1">
        <v>1461111</v>
      </c>
      <c r="H244" s="2" t="s">
        <v>52</v>
      </c>
      <c r="I244" s="5" t="s">
        <v>50</v>
      </c>
      <c r="J244" s="1">
        <v>12</v>
      </c>
      <c r="K244" s="13" t="str">
        <f t="shared" si="287"/>
        <v>P</v>
      </c>
      <c r="L244" s="1">
        <v>901</v>
      </c>
      <c r="M244" s="13" t="str">
        <f t="shared" si="288"/>
        <v>F</v>
      </c>
      <c r="AB244" s="7" t="str">
        <f t="shared" si="279"/>
        <v>12</v>
      </c>
      <c r="AC244" s="13" t="str">
        <f t="shared" si="280"/>
        <v>F</v>
      </c>
      <c r="AD244" s="13" t="str">
        <f t="shared" ref="AD244:AD252" si="291">AD243</f>
        <v>260</v>
      </c>
      <c r="AE244" s="1">
        <v>550</v>
      </c>
      <c r="AF244" s="15">
        <f t="shared" si="289"/>
        <v>47.272727272727273</v>
      </c>
      <c r="AG244" s="13" t="str">
        <f t="shared" si="289"/>
        <v>ATKT</v>
      </c>
      <c r="AI244" s="1">
        <v>22</v>
      </c>
      <c r="AJ244" s="15">
        <f t="shared" ref="AJ244:AL252" si="292">AJ243</f>
        <v>14</v>
      </c>
      <c r="AK244" s="16">
        <f t="shared" si="292"/>
        <v>82</v>
      </c>
      <c r="AL244" s="7">
        <f t="shared" si="292"/>
        <v>0</v>
      </c>
      <c r="AR244" s="7" t="str">
        <f t="shared" si="281"/>
        <v>F</v>
      </c>
      <c r="AS244" s="8">
        <f t="shared" si="282"/>
        <v>0</v>
      </c>
      <c r="AT244" s="8">
        <f t="shared" si="283"/>
        <v>0</v>
      </c>
      <c r="AU244" s="13">
        <f>IF(OR(UPPER(TRIM(AC244))="AB", AC244=901, AC244="901"), 0, IF(ISNUMBER(MATCH(UPPER(TRIM(AC244)), {"A+","A","B+","B","C","D","P"}, 0)), 2, 0))</f>
        <v>0</v>
      </c>
      <c r="AV244" s="13">
        <f t="shared" si="284"/>
        <v>12</v>
      </c>
      <c r="AW244">
        <f t="shared" si="285"/>
        <v>12</v>
      </c>
      <c r="AX244" s="1">
        <f t="shared" si="286"/>
        <v>24</v>
      </c>
      <c r="AY244" s="13">
        <f t="shared" si="290"/>
        <v>260</v>
      </c>
    </row>
    <row r="245" spans="1:51">
      <c r="A245" s="7">
        <v>5237406</v>
      </c>
      <c r="B245" s="7"/>
      <c r="C245" s="33" t="s">
        <v>84</v>
      </c>
      <c r="D245" s="1" t="s">
        <v>47</v>
      </c>
      <c r="E245" s="3">
        <v>1</v>
      </c>
      <c r="F245" s="1" t="s">
        <v>48</v>
      </c>
      <c r="G245" s="1">
        <v>1461112</v>
      </c>
      <c r="H245" s="2" t="s">
        <v>53</v>
      </c>
      <c r="I245" s="5" t="s">
        <v>50</v>
      </c>
      <c r="J245" s="1">
        <v>12</v>
      </c>
      <c r="K245" s="13" t="str">
        <f t="shared" si="287"/>
        <v>P</v>
      </c>
      <c r="L245" s="1">
        <v>901</v>
      </c>
      <c r="M245" s="13" t="str">
        <f t="shared" si="288"/>
        <v>F</v>
      </c>
      <c r="AB245" s="7" t="str">
        <f t="shared" si="279"/>
        <v>12</v>
      </c>
      <c r="AC245" s="13" t="str">
        <f t="shared" si="280"/>
        <v>F</v>
      </c>
      <c r="AD245" s="13" t="str">
        <f t="shared" si="291"/>
        <v>260</v>
      </c>
      <c r="AE245" s="1">
        <v>550</v>
      </c>
      <c r="AF245" s="15">
        <f t="shared" si="289"/>
        <v>47.272727272727273</v>
      </c>
      <c r="AG245" s="13" t="str">
        <f t="shared" si="289"/>
        <v>ATKT</v>
      </c>
      <c r="AI245" s="1">
        <v>22</v>
      </c>
      <c r="AJ245" s="15">
        <f t="shared" si="292"/>
        <v>14</v>
      </c>
      <c r="AK245" s="16">
        <f t="shared" si="292"/>
        <v>82</v>
      </c>
      <c r="AL245" s="7">
        <f t="shared" si="292"/>
        <v>0</v>
      </c>
      <c r="AR245" s="7" t="str">
        <f t="shared" si="281"/>
        <v>F</v>
      </c>
      <c r="AS245" s="8">
        <f t="shared" si="282"/>
        <v>0</v>
      </c>
      <c r="AT245" s="8">
        <f t="shared" si="283"/>
        <v>0</v>
      </c>
      <c r="AU245" s="13">
        <f>IF(OR(UPPER(TRIM(AC245))="AB", AC245=901, AC245="901"), 0, IF(ISNUMBER(MATCH(UPPER(TRIM(AC245)), {"A+","A","B+","B","C","D","P"}, 0)), 2, 0))</f>
        <v>0</v>
      </c>
      <c r="AV245" s="13">
        <f t="shared" si="284"/>
        <v>12</v>
      </c>
      <c r="AW245">
        <f t="shared" si="285"/>
        <v>12</v>
      </c>
      <c r="AX245" s="1">
        <f t="shared" si="286"/>
        <v>24</v>
      </c>
      <c r="AY245" s="13">
        <f t="shared" si="290"/>
        <v>260</v>
      </c>
    </row>
    <row r="246" spans="1:51">
      <c r="A246" s="7">
        <v>5237406</v>
      </c>
      <c r="B246" s="7"/>
      <c r="C246" s="33" t="s">
        <v>84</v>
      </c>
      <c r="D246" s="1" t="s">
        <v>47</v>
      </c>
      <c r="E246" s="3">
        <v>1</v>
      </c>
      <c r="F246" s="1" t="s">
        <v>48</v>
      </c>
      <c r="G246" s="1">
        <v>1461113</v>
      </c>
      <c r="H246" s="2" t="s">
        <v>54</v>
      </c>
      <c r="I246" s="5" t="s">
        <v>50</v>
      </c>
      <c r="J246" s="1">
        <v>19</v>
      </c>
      <c r="K246" s="13" t="str">
        <f t="shared" si="287"/>
        <v>P</v>
      </c>
      <c r="L246" s="1">
        <v>901</v>
      </c>
      <c r="M246" s="13" t="str">
        <f t="shared" si="288"/>
        <v>F</v>
      </c>
      <c r="AB246" s="7" t="str">
        <f t="shared" si="279"/>
        <v>19</v>
      </c>
      <c r="AC246" s="13" t="str">
        <f t="shared" si="280"/>
        <v>F</v>
      </c>
      <c r="AD246" s="13" t="str">
        <f t="shared" si="291"/>
        <v>260</v>
      </c>
      <c r="AE246" s="1">
        <v>550</v>
      </c>
      <c r="AF246" s="15">
        <f t="shared" si="289"/>
        <v>47.272727272727273</v>
      </c>
      <c r="AG246" s="13" t="str">
        <f t="shared" si="289"/>
        <v>ATKT</v>
      </c>
      <c r="AI246" s="1">
        <v>22</v>
      </c>
      <c r="AJ246" s="15">
        <f t="shared" si="292"/>
        <v>14</v>
      </c>
      <c r="AK246" s="16">
        <f t="shared" si="292"/>
        <v>82</v>
      </c>
      <c r="AL246" s="7">
        <f t="shared" si="292"/>
        <v>0</v>
      </c>
      <c r="AR246" s="7" t="str">
        <f t="shared" si="281"/>
        <v>F</v>
      </c>
      <c r="AS246" s="8">
        <f t="shared" si="282"/>
        <v>0</v>
      </c>
      <c r="AT246" s="8">
        <f t="shared" si="283"/>
        <v>0</v>
      </c>
      <c r="AU246" s="13">
        <f>IF(OR(UPPER(TRIM(AC246))="AB", AC246=901, AC246="901"), 0, IF(ISNUMBER(MATCH(UPPER(TRIM(AC246)), {"A+","A","B+","B","C","D","P"}, 0)), 2, 0))</f>
        <v>0</v>
      </c>
      <c r="AV246" s="13">
        <f t="shared" si="284"/>
        <v>19</v>
      </c>
      <c r="AW246">
        <f t="shared" si="285"/>
        <v>19</v>
      </c>
      <c r="AX246" s="1">
        <f t="shared" si="286"/>
        <v>38</v>
      </c>
      <c r="AY246" s="13">
        <f t="shared" si="290"/>
        <v>260</v>
      </c>
    </row>
    <row r="247" spans="1:51">
      <c r="A247" s="7">
        <v>5237406</v>
      </c>
      <c r="B247" s="7"/>
      <c r="C247" s="33" t="s">
        <v>84</v>
      </c>
      <c r="D247" s="1" t="s">
        <v>47</v>
      </c>
      <c r="E247" s="3">
        <v>1</v>
      </c>
      <c r="F247" s="1" t="s">
        <v>48</v>
      </c>
      <c r="G247" s="1">
        <v>1461411</v>
      </c>
      <c r="H247" s="2" t="s">
        <v>55</v>
      </c>
      <c r="I247" s="5" t="s">
        <v>50</v>
      </c>
      <c r="J247" s="1">
        <v>13</v>
      </c>
      <c r="K247" s="13" t="str">
        <f t="shared" si="287"/>
        <v>P</v>
      </c>
      <c r="L247" s="1">
        <v>901</v>
      </c>
      <c r="M247" s="13" t="str">
        <f t="shared" si="288"/>
        <v>F</v>
      </c>
      <c r="AB247" s="7" t="str">
        <f t="shared" si="279"/>
        <v>13</v>
      </c>
      <c r="AC247" s="13" t="str">
        <f t="shared" si="280"/>
        <v>F</v>
      </c>
      <c r="AD247" s="13" t="str">
        <f t="shared" si="291"/>
        <v>260</v>
      </c>
      <c r="AE247" s="1">
        <v>550</v>
      </c>
      <c r="AF247" s="15">
        <f t="shared" si="289"/>
        <v>47.272727272727273</v>
      </c>
      <c r="AG247" s="13" t="str">
        <f t="shared" si="289"/>
        <v>ATKT</v>
      </c>
      <c r="AI247" s="1">
        <v>22</v>
      </c>
      <c r="AJ247" s="15">
        <f t="shared" si="292"/>
        <v>14</v>
      </c>
      <c r="AK247" s="16">
        <f t="shared" si="292"/>
        <v>82</v>
      </c>
      <c r="AL247" s="7">
        <f t="shared" si="292"/>
        <v>0</v>
      </c>
      <c r="AR247" s="7" t="str">
        <f t="shared" si="281"/>
        <v>F</v>
      </c>
      <c r="AS247" s="8">
        <f t="shared" si="282"/>
        <v>0</v>
      </c>
      <c r="AT247" s="8">
        <f t="shared" si="283"/>
        <v>0</v>
      </c>
      <c r="AU247" s="13">
        <f>IF(OR(UPPER(TRIM(AC247))="AB", AC247=901, AC247="901"), 0, IF(ISNUMBER(MATCH(UPPER(TRIM(AC247)), {"A+","A","B+","B","C","D","P"}, 0)), 2, 0))</f>
        <v>0</v>
      </c>
      <c r="AV247" s="13">
        <f t="shared" si="284"/>
        <v>13</v>
      </c>
      <c r="AW247">
        <f t="shared" si="285"/>
        <v>13</v>
      </c>
      <c r="AX247" s="1">
        <f t="shared" si="286"/>
        <v>26</v>
      </c>
      <c r="AY247" s="13">
        <f t="shared" si="290"/>
        <v>260</v>
      </c>
    </row>
    <row r="248" spans="1:51">
      <c r="A248" s="7">
        <v>5237406</v>
      </c>
      <c r="B248" s="7"/>
      <c r="C248" s="33" t="s">
        <v>84</v>
      </c>
      <c r="D248" s="1" t="s">
        <v>47</v>
      </c>
      <c r="E248" s="3">
        <v>1</v>
      </c>
      <c r="F248" s="1" t="s">
        <v>48</v>
      </c>
      <c r="G248" s="1">
        <v>1461412</v>
      </c>
      <c r="H248" s="2" t="s">
        <v>56</v>
      </c>
      <c r="I248" s="5" t="s">
        <v>50</v>
      </c>
      <c r="J248" s="1">
        <v>12</v>
      </c>
      <c r="K248" s="13" t="str">
        <f t="shared" si="287"/>
        <v>P</v>
      </c>
      <c r="L248" s="1">
        <v>12</v>
      </c>
      <c r="M248" s="13" t="str">
        <f t="shared" si="288"/>
        <v>P</v>
      </c>
      <c r="AB248" s="7" t="str">
        <f t="shared" si="279"/>
        <v>24</v>
      </c>
      <c r="AC248" s="13" t="str">
        <f t="shared" si="280"/>
        <v>D</v>
      </c>
      <c r="AD248" s="13" t="str">
        <f t="shared" si="291"/>
        <v>260</v>
      </c>
      <c r="AE248" s="1">
        <v>550</v>
      </c>
      <c r="AF248" s="15">
        <f t="shared" si="289"/>
        <v>47.272727272727273</v>
      </c>
      <c r="AG248" s="13" t="str">
        <f t="shared" si="289"/>
        <v>ATKT</v>
      </c>
      <c r="AI248" s="1">
        <v>22</v>
      </c>
      <c r="AJ248" s="15">
        <f t="shared" si="292"/>
        <v>14</v>
      </c>
      <c r="AK248" s="16">
        <f t="shared" si="292"/>
        <v>82</v>
      </c>
      <c r="AL248" s="7">
        <f t="shared" si="292"/>
        <v>0</v>
      </c>
      <c r="AR248" s="7" t="str">
        <f t="shared" si="281"/>
        <v>F</v>
      </c>
      <c r="AS248" s="8">
        <f t="shared" si="282"/>
        <v>4</v>
      </c>
      <c r="AT248" s="8">
        <f t="shared" si="283"/>
        <v>8</v>
      </c>
      <c r="AU248" s="13">
        <f>IF(OR(UPPER(TRIM(AC248))="AB", AC248=901, AC248="901"), 0, IF(ISNUMBER(MATCH(UPPER(TRIM(AC248)), {"A+","A","B+","B","C","D","P"}, 0)), 2, 0))</f>
        <v>2</v>
      </c>
      <c r="AV248" s="13">
        <f t="shared" si="284"/>
        <v>24</v>
      </c>
      <c r="AW248">
        <f t="shared" si="285"/>
        <v>24</v>
      </c>
      <c r="AX248" s="1">
        <f t="shared" si="286"/>
        <v>48</v>
      </c>
      <c r="AY248" s="13">
        <f t="shared" si="290"/>
        <v>260</v>
      </c>
    </row>
    <row r="249" spans="1:51">
      <c r="A249" s="7">
        <v>5237406</v>
      </c>
      <c r="B249" s="7"/>
      <c r="C249" s="33" t="s">
        <v>84</v>
      </c>
      <c r="D249" s="1" t="s">
        <v>47</v>
      </c>
      <c r="E249" s="3">
        <v>1</v>
      </c>
      <c r="F249" s="1" t="s">
        <v>48</v>
      </c>
      <c r="G249" s="1">
        <v>2511515</v>
      </c>
      <c r="H249" s="2" t="s">
        <v>57</v>
      </c>
      <c r="I249" s="5" t="s">
        <v>50</v>
      </c>
      <c r="J249" s="1">
        <v>12</v>
      </c>
      <c r="K249" s="13" t="str">
        <f t="shared" si="287"/>
        <v>P</v>
      </c>
      <c r="L249" s="1">
        <v>14</v>
      </c>
      <c r="M249" s="13" t="str">
        <f t="shared" si="288"/>
        <v>P</v>
      </c>
      <c r="AB249" s="7" t="str">
        <f t="shared" si="279"/>
        <v>26</v>
      </c>
      <c r="AC249" s="13" t="str">
        <f t="shared" si="280"/>
        <v>C</v>
      </c>
      <c r="AD249" s="13" t="str">
        <f t="shared" si="291"/>
        <v>260</v>
      </c>
      <c r="AE249" s="1">
        <v>550</v>
      </c>
      <c r="AF249" s="15">
        <f t="shared" si="289"/>
        <v>47.272727272727273</v>
      </c>
      <c r="AG249" s="13" t="str">
        <f t="shared" si="289"/>
        <v>ATKT</v>
      </c>
      <c r="AI249" s="1">
        <v>22</v>
      </c>
      <c r="AJ249" s="15">
        <f t="shared" si="292"/>
        <v>14</v>
      </c>
      <c r="AK249" s="16">
        <f t="shared" si="292"/>
        <v>82</v>
      </c>
      <c r="AL249" s="7">
        <f t="shared" si="292"/>
        <v>0</v>
      </c>
      <c r="AR249" s="7" t="str">
        <f t="shared" si="281"/>
        <v>F</v>
      </c>
      <c r="AS249" s="8">
        <f t="shared" si="282"/>
        <v>5</v>
      </c>
      <c r="AT249" s="8">
        <f t="shared" si="283"/>
        <v>10</v>
      </c>
      <c r="AU249" s="13">
        <f>IF(OR(UPPER(TRIM(AC249))="AB", AC249=901, AC249="901"), 0, IF(ISNUMBER(MATCH(UPPER(TRIM(AC249)), {"A+","A","B+","B","C","D","P"}, 0)), 2, 0))</f>
        <v>2</v>
      </c>
      <c r="AV249" s="13">
        <f t="shared" si="284"/>
        <v>26</v>
      </c>
      <c r="AW249">
        <f t="shared" si="285"/>
        <v>26</v>
      </c>
      <c r="AX249" s="1">
        <f t="shared" si="286"/>
        <v>52</v>
      </c>
      <c r="AY249" s="13">
        <f t="shared" si="290"/>
        <v>260</v>
      </c>
    </row>
    <row r="250" spans="1:51">
      <c r="A250" s="7">
        <v>5237406</v>
      </c>
      <c r="B250" s="7"/>
      <c r="C250" s="33" t="s">
        <v>84</v>
      </c>
      <c r="D250" s="1" t="s">
        <v>47</v>
      </c>
      <c r="E250" s="3">
        <v>1</v>
      </c>
      <c r="F250" s="1" t="s">
        <v>48</v>
      </c>
      <c r="G250" s="1">
        <v>2521615</v>
      </c>
      <c r="H250" s="4" t="s">
        <v>58</v>
      </c>
      <c r="I250" s="5" t="s">
        <v>50</v>
      </c>
      <c r="J250" s="1">
        <v>19</v>
      </c>
      <c r="K250" s="13" t="str">
        <f t="shared" si="287"/>
        <v>P</v>
      </c>
      <c r="L250" s="1">
        <v>19</v>
      </c>
      <c r="M250" s="13" t="str">
        <f t="shared" si="288"/>
        <v>P</v>
      </c>
      <c r="AB250" s="7" t="str">
        <f t="shared" si="279"/>
        <v>38</v>
      </c>
      <c r="AC250" s="13" t="str">
        <f t="shared" si="280"/>
        <v>A</v>
      </c>
      <c r="AD250" s="13" t="str">
        <f t="shared" si="291"/>
        <v>260</v>
      </c>
      <c r="AE250" s="1">
        <v>550</v>
      </c>
      <c r="AF250" s="15">
        <f t="shared" si="289"/>
        <v>47.272727272727273</v>
      </c>
      <c r="AG250" s="13" t="str">
        <f t="shared" si="289"/>
        <v>ATKT</v>
      </c>
      <c r="AI250" s="1">
        <v>22</v>
      </c>
      <c r="AJ250" s="15">
        <f t="shared" si="292"/>
        <v>14</v>
      </c>
      <c r="AK250" s="16">
        <f t="shared" si="292"/>
        <v>82</v>
      </c>
      <c r="AL250" s="7">
        <f t="shared" si="292"/>
        <v>0</v>
      </c>
      <c r="AR250" s="7" t="str">
        <f t="shared" si="281"/>
        <v>F</v>
      </c>
      <c r="AS250" s="8">
        <f t="shared" si="282"/>
        <v>8</v>
      </c>
      <c r="AT250" s="8">
        <f t="shared" si="283"/>
        <v>16</v>
      </c>
      <c r="AU250" s="13">
        <f>IF(OR(UPPER(TRIM(AC250))="AB", AC250=901, AC250="901"), 0, IF(ISNUMBER(MATCH(UPPER(TRIM(AC250)), {"A+","A","B+","B","C","D","P"}, 0)), 2, 0))</f>
        <v>2</v>
      </c>
      <c r="AV250" s="13">
        <f t="shared" si="284"/>
        <v>38</v>
      </c>
      <c r="AW250">
        <f t="shared" si="285"/>
        <v>38</v>
      </c>
      <c r="AX250" s="1">
        <f t="shared" si="286"/>
        <v>76</v>
      </c>
      <c r="AY250" s="13">
        <f t="shared" si="290"/>
        <v>260</v>
      </c>
    </row>
    <row r="251" spans="1:51">
      <c r="A251" s="7">
        <v>5237406</v>
      </c>
      <c r="B251" s="7"/>
      <c r="C251" s="33" t="s">
        <v>84</v>
      </c>
      <c r="D251" s="1" t="s">
        <v>47</v>
      </c>
      <c r="E251" s="3">
        <v>1</v>
      </c>
      <c r="F251" s="1" t="s">
        <v>48</v>
      </c>
      <c r="G251" s="1">
        <v>2531511</v>
      </c>
      <c r="H251" s="2" t="s">
        <v>59</v>
      </c>
      <c r="I251" s="5" t="s">
        <v>50</v>
      </c>
      <c r="J251" s="1">
        <v>16</v>
      </c>
      <c r="K251" s="13" t="str">
        <f t="shared" si="287"/>
        <v>P</v>
      </c>
      <c r="L251" s="1">
        <v>20</v>
      </c>
      <c r="M251" s="13" t="str">
        <f t="shared" si="288"/>
        <v>P</v>
      </c>
      <c r="AB251" s="7" t="str">
        <f t="shared" si="279"/>
        <v>36</v>
      </c>
      <c r="AC251" s="13" t="str">
        <f t="shared" si="280"/>
        <v>A</v>
      </c>
      <c r="AD251" s="13" t="str">
        <f t="shared" si="291"/>
        <v>260</v>
      </c>
      <c r="AE251" s="1">
        <v>550</v>
      </c>
      <c r="AF251" s="15">
        <f t="shared" si="289"/>
        <v>47.272727272727273</v>
      </c>
      <c r="AG251" s="13" t="str">
        <f t="shared" si="289"/>
        <v>ATKT</v>
      </c>
      <c r="AI251" s="1">
        <v>22</v>
      </c>
      <c r="AJ251" s="15">
        <f t="shared" si="292"/>
        <v>14</v>
      </c>
      <c r="AK251" s="16">
        <f t="shared" si="292"/>
        <v>82</v>
      </c>
      <c r="AL251" s="7">
        <f t="shared" si="292"/>
        <v>0</v>
      </c>
      <c r="AR251" s="7" t="str">
        <f t="shared" si="281"/>
        <v>F</v>
      </c>
      <c r="AS251" s="8">
        <f t="shared" si="282"/>
        <v>8</v>
      </c>
      <c r="AT251" s="8">
        <f t="shared" si="283"/>
        <v>16</v>
      </c>
      <c r="AU251" s="13">
        <f>IF(OR(UPPER(TRIM(AC251))="AB", AC251=901, AC251="901"), 0, IF(ISNUMBER(MATCH(UPPER(TRIM(AC251)), {"A+","A","B+","B","C","D","P"}, 0)), 2, 0))</f>
        <v>2</v>
      </c>
      <c r="AV251" s="13">
        <f t="shared" si="284"/>
        <v>36</v>
      </c>
      <c r="AW251">
        <f t="shared" si="285"/>
        <v>36</v>
      </c>
      <c r="AX251" s="1">
        <f t="shared" si="286"/>
        <v>72</v>
      </c>
      <c r="AY251" s="13">
        <f t="shared" si="290"/>
        <v>260</v>
      </c>
    </row>
    <row r="252" spans="1:51">
      <c r="A252" s="7">
        <v>5237406</v>
      </c>
      <c r="B252" s="7"/>
      <c r="C252" s="33" t="s">
        <v>84</v>
      </c>
      <c r="D252" s="1" t="s">
        <v>47</v>
      </c>
      <c r="E252" s="3">
        <v>1</v>
      </c>
      <c r="F252" s="1" t="s">
        <v>48</v>
      </c>
      <c r="G252" s="1">
        <v>2541515</v>
      </c>
      <c r="H252" s="2" t="s">
        <v>60</v>
      </c>
      <c r="I252" s="5" t="s">
        <v>50</v>
      </c>
      <c r="J252" s="1">
        <v>14</v>
      </c>
      <c r="K252" s="13" t="str">
        <f t="shared" si="287"/>
        <v>P</v>
      </c>
      <c r="L252" s="6">
        <v>12</v>
      </c>
      <c r="M252" s="13" t="str">
        <f t="shared" si="288"/>
        <v>P</v>
      </c>
      <c r="AB252" s="7" t="str">
        <f t="shared" si="279"/>
        <v>26</v>
      </c>
      <c r="AC252" s="13" t="str">
        <f t="shared" si="280"/>
        <v>C</v>
      </c>
      <c r="AD252" s="13" t="str">
        <f t="shared" si="291"/>
        <v>260</v>
      </c>
      <c r="AE252" s="1">
        <v>550</v>
      </c>
      <c r="AF252" s="15">
        <f t="shared" si="289"/>
        <v>47.272727272727273</v>
      </c>
      <c r="AG252" s="13" t="str">
        <f t="shared" si="289"/>
        <v>ATKT</v>
      </c>
      <c r="AI252" s="1">
        <v>22</v>
      </c>
      <c r="AJ252" s="15">
        <f t="shared" si="292"/>
        <v>14</v>
      </c>
      <c r="AK252" s="16">
        <f t="shared" si="292"/>
        <v>82</v>
      </c>
      <c r="AL252" s="7">
        <f t="shared" si="292"/>
        <v>0</v>
      </c>
      <c r="AR252" s="7" t="str">
        <f t="shared" si="281"/>
        <v>F</v>
      </c>
      <c r="AS252" s="8">
        <f t="shared" si="282"/>
        <v>5</v>
      </c>
      <c r="AT252" s="8">
        <f t="shared" si="283"/>
        <v>10</v>
      </c>
      <c r="AU252" s="13">
        <f>IF(OR(UPPER(TRIM(AC252))="AB", AC252=901, AC252="901"), 0, IF(ISNUMBER(MATCH(UPPER(TRIM(AC252)), {"A+","A","B+","B","C","D","P"}, 0)), 2, 0))</f>
        <v>2</v>
      </c>
      <c r="AV252" s="13">
        <f t="shared" si="284"/>
        <v>26</v>
      </c>
      <c r="AW252">
        <f t="shared" si="285"/>
        <v>26</v>
      </c>
      <c r="AX252" s="1">
        <f t="shared" si="286"/>
        <v>52</v>
      </c>
      <c r="AY252" s="13">
        <f t="shared" si="290"/>
        <v>260</v>
      </c>
    </row>
    <row r="254" spans="1:51">
      <c r="A254" s="7">
        <v>5075859</v>
      </c>
      <c r="B254" s="7"/>
      <c r="C254" s="33" t="s">
        <v>85</v>
      </c>
      <c r="D254" s="1" t="s">
        <v>47</v>
      </c>
      <c r="E254" s="3">
        <v>1</v>
      </c>
      <c r="F254" s="1" t="s">
        <v>48</v>
      </c>
      <c r="G254" s="1">
        <v>1011312</v>
      </c>
      <c r="H254" s="2" t="s">
        <v>49</v>
      </c>
      <c r="I254" s="5" t="s">
        <v>50</v>
      </c>
      <c r="J254" s="6">
        <v>15</v>
      </c>
      <c r="K254" s="13" t="str">
        <f>IF(OR(UPPER(TRIM(J254))="AB",J254=901,J254="901"),"F",IF(J254&gt;=8,"P","F"))</f>
        <v>P</v>
      </c>
      <c r="L254" s="1">
        <v>20</v>
      </c>
      <c r="M254" s="13" t="str">
        <f>IF(OR(UPPER(TRIM(L254))="AB",L254=901,L254="901"),"F",IF(L254&gt;=8,"P","F"))</f>
        <v>P</v>
      </c>
      <c r="N254" s="13"/>
      <c r="O254" s="13"/>
      <c r="P254" s="13"/>
      <c r="Q254" s="13"/>
      <c r="R254" s="13"/>
      <c r="S254" s="13"/>
      <c r="T254" s="13"/>
      <c r="U254" s="13"/>
      <c r="V254" s="13"/>
      <c r="W254" s="13"/>
      <c r="X254" s="13"/>
      <c r="Y254" s="13"/>
      <c r="Z254" s="13"/>
      <c r="AB254" s="7" t="str">
        <f t="shared" ref="AB254:AB275" si="293">AV254 &amp; IF(AA254&lt;&gt;"", " @ " &amp; AA254, "")</f>
        <v>35</v>
      </c>
      <c r="AC254" s="13" t="str">
        <f t="shared" ref="AC254:AC275" si="294">IF(AX254&gt;=90,"O",
IF(AX254&gt;=80,"A+",
IF(AX254&gt;=70,"A",
IF(AX254&gt;=60,"B+",
IF(AX254&gt;=55,"B",
IF(AX254&gt;=50,"C",
IF(AX254&gt;=40,"D","F")))))))</f>
        <v>A</v>
      </c>
      <c r="AD254" s="13" t="str">
        <f>SUM(AV254:AV264) &amp; IF(SUM(AA254:AA264)&gt;0, " @ " &amp; SUM(AA254:AA264), "")</f>
        <v>249</v>
      </c>
      <c r="AE254" s="1">
        <v>550</v>
      </c>
      <c r="AF254" s="15">
        <f>AY254/AE254*100</f>
        <v>45.272727272727273</v>
      </c>
      <c r="AG254" s="13" t="str" cm="1">
        <f t="array" ref="AG254">IF(
  SUMPRODUCT(--(IFERROR(VALUE(J254:J264),9999)&lt;8))
  + SUMPRODUCT(--(IFERROR(VALUE(L254:L264),9999)&lt;12))
  + COUNTIF(J254:J264,"AB") + COUNTIF(L254:L264,"AB")
  + COUNTIF(J254:J264,901) + COUNTIF(L254:L264,901) &gt; 0,
  "ATKT",
  "PASS"
)</f>
        <v>ATKT</v>
      </c>
      <c r="AI254" s="1">
        <v>22</v>
      </c>
      <c r="AJ254" s="15">
        <f>SUM(AU254:AU264)</f>
        <v>12</v>
      </c>
      <c r="AK254" s="16">
        <f>SUM(AT254:AT264)</f>
        <v>72</v>
      </c>
      <c r="AL254" s="7">
        <f>IF(UPPER(TRIM(AG254))="ATKT",0,ROUND( (SUM(AT254:AT264) /22), 2))</f>
        <v>0</v>
      </c>
      <c r="AR254" s="7" t="str">
        <f t="shared" ref="AR254:AR275" si="295">IF(AL254&gt;=9,"O", IF(AL254&gt;=8,"A+", IF(AL254&gt;=7,"A", IF(AL254&gt;=6,"B+", IF(AL254&gt;=5.5,"B", IF(AL254&gt;=5,"C", IF(AL254&gt;=4,"D","F")))))))</f>
        <v>F</v>
      </c>
      <c r="AS254" s="8">
        <f t="shared" ref="AS254:AS275" si="296">IF(AX254&gt;=90,10,
IF(AX254&gt;=80,9,
IF(AX254&gt;=70,8,
IF(AX254&gt;=60,7,
IF(AX254&gt;=55,6,
IF(AX254&gt;=50,5,
IF(AX254&gt;=40,4,0)))))))</f>
        <v>8</v>
      </c>
      <c r="AT254" s="8">
        <f t="shared" ref="AT254:AT275" si="297">AS254*I254</f>
        <v>16</v>
      </c>
      <c r="AU254" s="13">
        <f>IF(OR(UPPER(TRIM(AC254))="AB", AC254=901, AC254="901"), 0, IF(ISNUMBER(MATCH(UPPER(TRIM(AC254)), {"A+","A","B+","B","C","D","P"}, 0)), 2, 0))</f>
        <v>2</v>
      </c>
      <c r="AV254" s="13">
        <f t="shared" ref="AV254:AV275" si="298">SUM(
IF(OR(UPPER(TRIM(J254))="AB",J254=901,J254="901"),0,IFERROR(VALUE(J254),0)),
IF(OR(UPPER(TRIM(L254))="AB",L254=901,L254="901"),0,IFERROR(VALUE(L254),0)),
IF(OR(UPPER(TRIM(N254))="AB",N254=901,N254="901"),0,IFERROR(VALUE(N254),0))
)</f>
        <v>35</v>
      </c>
      <c r="AW254">
        <f t="shared" ref="AW254:AW275" si="299">AA254+AV254</f>
        <v>35</v>
      </c>
      <c r="AX254" s="1">
        <f t="shared" ref="AX254:AX275" si="300">(AW254 / 50) * 100</f>
        <v>70</v>
      </c>
      <c r="AY254" s="13">
        <f>SUM(AW254:AW264)</f>
        <v>249</v>
      </c>
    </row>
    <row r="255" spans="1:51">
      <c r="A255" s="7">
        <v>5075859</v>
      </c>
      <c r="B255" s="7"/>
      <c r="C255" s="33" t="s">
        <v>85</v>
      </c>
      <c r="D255" s="1" t="s">
        <v>47</v>
      </c>
      <c r="E255" s="3">
        <v>1</v>
      </c>
      <c r="F255" s="1" t="s">
        <v>48</v>
      </c>
      <c r="G255" s="1">
        <v>1171312</v>
      </c>
      <c r="H255" s="2" t="s">
        <v>51</v>
      </c>
      <c r="I255" s="5" t="s">
        <v>50</v>
      </c>
      <c r="J255" s="1">
        <v>18</v>
      </c>
      <c r="K255" s="13" t="str">
        <f t="shared" ref="K255:K264" si="301">IF(OR(UPPER(TRIM(J255))="AB",J255=901,J255="901"),"F",IF(J255&gt;=8,"P","F"))</f>
        <v>P</v>
      </c>
      <c r="L255" s="1">
        <v>2</v>
      </c>
      <c r="M255" s="13" t="str">
        <f t="shared" ref="M255:M264" si="302">IF(OR(UPPER(TRIM(L255))="AB",L255=901,L255="901"),"F",IF(L255&gt;=8,"P","F"))</f>
        <v>F</v>
      </c>
      <c r="AB255" s="7" t="str">
        <f t="shared" si="293"/>
        <v>20</v>
      </c>
      <c r="AC255" s="13" t="str">
        <f t="shared" si="294"/>
        <v>D</v>
      </c>
      <c r="AD255" s="13" t="str">
        <f>AD254</f>
        <v>249</v>
      </c>
      <c r="AE255" s="1">
        <v>550</v>
      </c>
      <c r="AF255" s="15">
        <f t="shared" ref="AF255:AG264" si="303">AF254</f>
        <v>45.272727272727273</v>
      </c>
      <c r="AG255" s="13" t="str">
        <f t="shared" si="303"/>
        <v>ATKT</v>
      </c>
      <c r="AI255" s="1">
        <v>22</v>
      </c>
      <c r="AJ255" s="15">
        <f>AJ254</f>
        <v>12</v>
      </c>
      <c r="AK255" s="16">
        <f>AK254</f>
        <v>72</v>
      </c>
      <c r="AL255" s="7">
        <f>AL254</f>
        <v>0</v>
      </c>
      <c r="AR255" s="7" t="str">
        <f t="shared" si="295"/>
        <v>F</v>
      </c>
      <c r="AS255" s="8">
        <f t="shared" si="296"/>
        <v>4</v>
      </c>
      <c r="AT255" s="8">
        <f t="shared" si="297"/>
        <v>8</v>
      </c>
      <c r="AU255" s="13">
        <f>IF(OR(UPPER(TRIM(AC255))="AB", AC255=901, AC255="901"), 0, IF(ISNUMBER(MATCH(UPPER(TRIM(AC255)), {"A+","A","B+","B","C","D","P"}, 0)), 2, 0))</f>
        <v>2</v>
      </c>
      <c r="AV255" s="13">
        <f t="shared" si="298"/>
        <v>20</v>
      </c>
      <c r="AW255">
        <f t="shared" si="299"/>
        <v>20</v>
      </c>
      <c r="AX255" s="1">
        <f t="shared" si="300"/>
        <v>40</v>
      </c>
      <c r="AY255" s="13">
        <f t="shared" ref="AY255:AY264" si="304">AY254</f>
        <v>249</v>
      </c>
    </row>
    <row r="256" spans="1:51">
      <c r="A256" s="7">
        <v>5075859</v>
      </c>
      <c r="B256" s="7"/>
      <c r="C256" s="33" t="s">
        <v>85</v>
      </c>
      <c r="D256" s="1" t="s">
        <v>47</v>
      </c>
      <c r="E256" s="3">
        <v>1</v>
      </c>
      <c r="F256" s="1" t="s">
        <v>48</v>
      </c>
      <c r="G256" s="1">
        <v>1461111</v>
      </c>
      <c r="H256" s="2" t="s">
        <v>52</v>
      </c>
      <c r="I256" s="5" t="s">
        <v>50</v>
      </c>
      <c r="J256" s="1">
        <v>12</v>
      </c>
      <c r="K256" s="13" t="str">
        <f t="shared" si="301"/>
        <v>P</v>
      </c>
      <c r="L256" s="1">
        <v>5</v>
      </c>
      <c r="M256" s="13" t="str">
        <f t="shared" si="302"/>
        <v>F</v>
      </c>
      <c r="AB256" s="7" t="str">
        <f t="shared" si="293"/>
        <v>17</v>
      </c>
      <c r="AC256" s="13" t="str">
        <f t="shared" si="294"/>
        <v>F</v>
      </c>
      <c r="AD256" s="13" t="str">
        <f t="shared" ref="AD256:AD264" si="305">AD255</f>
        <v>249</v>
      </c>
      <c r="AE256" s="1">
        <v>550</v>
      </c>
      <c r="AF256" s="15">
        <f t="shared" si="303"/>
        <v>45.272727272727273</v>
      </c>
      <c r="AG256" s="13" t="str">
        <f t="shared" si="303"/>
        <v>ATKT</v>
      </c>
      <c r="AI256" s="1">
        <v>22</v>
      </c>
      <c r="AJ256" s="15">
        <f t="shared" ref="AJ256:AL264" si="306">AJ255</f>
        <v>12</v>
      </c>
      <c r="AK256" s="16">
        <f t="shared" si="306"/>
        <v>72</v>
      </c>
      <c r="AL256" s="7">
        <f t="shared" si="306"/>
        <v>0</v>
      </c>
      <c r="AR256" s="7" t="str">
        <f t="shared" si="295"/>
        <v>F</v>
      </c>
      <c r="AS256" s="8">
        <f t="shared" si="296"/>
        <v>0</v>
      </c>
      <c r="AT256" s="8">
        <f t="shared" si="297"/>
        <v>0</v>
      </c>
      <c r="AU256" s="13">
        <f>IF(OR(UPPER(TRIM(AC256))="AB", AC256=901, AC256="901"), 0, IF(ISNUMBER(MATCH(UPPER(TRIM(AC256)), {"A+","A","B+","B","C","D","P"}, 0)), 2, 0))</f>
        <v>0</v>
      </c>
      <c r="AV256" s="13">
        <f t="shared" si="298"/>
        <v>17</v>
      </c>
      <c r="AW256">
        <f t="shared" si="299"/>
        <v>17</v>
      </c>
      <c r="AX256" s="1">
        <f t="shared" si="300"/>
        <v>34</v>
      </c>
      <c r="AY256" s="13">
        <f t="shared" si="304"/>
        <v>249</v>
      </c>
    </row>
    <row r="257" spans="1:51">
      <c r="A257" s="7">
        <v>5075859</v>
      </c>
      <c r="B257" s="7"/>
      <c r="C257" s="33" t="s">
        <v>85</v>
      </c>
      <c r="D257" s="1" t="s">
        <v>47</v>
      </c>
      <c r="E257" s="3">
        <v>1</v>
      </c>
      <c r="F257" s="1" t="s">
        <v>48</v>
      </c>
      <c r="G257" s="1">
        <v>1461112</v>
      </c>
      <c r="H257" s="2" t="s">
        <v>53</v>
      </c>
      <c r="I257" s="5" t="s">
        <v>50</v>
      </c>
      <c r="J257" s="1">
        <v>12</v>
      </c>
      <c r="K257" s="13" t="str">
        <f t="shared" si="301"/>
        <v>P</v>
      </c>
      <c r="L257" s="1">
        <v>3</v>
      </c>
      <c r="M257" s="13" t="str">
        <f t="shared" si="302"/>
        <v>F</v>
      </c>
      <c r="AB257" s="7" t="str">
        <f t="shared" si="293"/>
        <v>15</v>
      </c>
      <c r="AC257" s="13" t="str">
        <f t="shared" si="294"/>
        <v>F</v>
      </c>
      <c r="AD257" s="13" t="str">
        <f t="shared" si="305"/>
        <v>249</v>
      </c>
      <c r="AE257" s="1">
        <v>550</v>
      </c>
      <c r="AF257" s="15">
        <f t="shared" si="303"/>
        <v>45.272727272727273</v>
      </c>
      <c r="AG257" s="13" t="str">
        <f t="shared" si="303"/>
        <v>ATKT</v>
      </c>
      <c r="AI257" s="1">
        <v>22</v>
      </c>
      <c r="AJ257" s="15">
        <f t="shared" si="306"/>
        <v>12</v>
      </c>
      <c r="AK257" s="16">
        <f t="shared" si="306"/>
        <v>72</v>
      </c>
      <c r="AL257" s="7">
        <f t="shared" si="306"/>
        <v>0</v>
      </c>
      <c r="AR257" s="7" t="str">
        <f t="shared" si="295"/>
        <v>F</v>
      </c>
      <c r="AS257" s="8">
        <f t="shared" si="296"/>
        <v>0</v>
      </c>
      <c r="AT257" s="8">
        <f t="shared" si="297"/>
        <v>0</v>
      </c>
      <c r="AU257" s="13">
        <f>IF(OR(UPPER(TRIM(AC257))="AB", AC257=901, AC257="901"), 0, IF(ISNUMBER(MATCH(UPPER(TRIM(AC257)), {"A+","A","B+","B","C","D","P"}, 0)), 2, 0))</f>
        <v>0</v>
      </c>
      <c r="AV257" s="13">
        <f t="shared" si="298"/>
        <v>15</v>
      </c>
      <c r="AW257">
        <f t="shared" si="299"/>
        <v>15</v>
      </c>
      <c r="AX257" s="1">
        <f t="shared" si="300"/>
        <v>30</v>
      </c>
      <c r="AY257" s="13">
        <f t="shared" si="304"/>
        <v>249</v>
      </c>
    </row>
    <row r="258" spans="1:51">
      <c r="A258" s="7">
        <v>5075859</v>
      </c>
      <c r="B258" s="7"/>
      <c r="C258" s="33" t="s">
        <v>85</v>
      </c>
      <c r="D258" s="1" t="s">
        <v>47</v>
      </c>
      <c r="E258" s="3">
        <v>1</v>
      </c>
      <c r="F258" s="1" t="s">
        <v>48</v>
      </c>
      <c r="G258" s="1">
        <v>1461113</v>
      </c>
      <c r="H258" s="2" t="s">
        <v>54</v>
      </c>
      <c r="I258" s="5" t="s">
        <v>50</v>
      </c>
      <c r="J258" s="1">
        <v>18</v>
      </c>
      <c r="K258" s="13" t="str">
        <f t="shared" si="301"/>
        <v>P</v>
      </c>
      <c r="L258" s="1">
        <v>12</v>
      </c>
      <c r="M258" s="13" t="str">
        <f t="shared" si="302"/>
        <v>P</v>
      </c>
      <c r="AB258" s="7" t="str">
        <f t="shared" si="293"/>
        <v>30</v>
      </c>
      <c r="AC258" s="13" t="str">
        <f t="shared" si="294"/>
        <v>B+</v>
      </c>
      <c r="AD258" s="13" t="str">
        <f t="shared" si="305"/>
        <v>249</v>
      </c>
      <c r="AE258" s="1">
        <v>550</v>
      </c>
      <c r="AF258" s="15">
        <f t="shared" si="303"/>
        <v>45.272727272727273</v>
      </c>
      <c r="AG258" s="13" t="str">
        <f t="shared" si="303"/>
        <v>ATKT</v>
      </c>
      <c r="AI258" s="1">
        <v>22</v>
      </c>
      <c r="AJ258" s="15">
        <f t="shared" si="306"/>
        <v>12</v>
      </c>
      <c r="AK258" s="16">
        <f t="shared" si="306"/>
        <v>72</v>
      </c>
      <c r="AL258" s="7">
        <f t="shared" si="306"/>
        <v>0</v>
      </c>
      <c r="AR258" s="7" t="str">
        <f t="shared" si="295"/>
        <v>F</v>
      </c>
      <c r="AS258" s="8">
        <f t="shared" si="296"/>
        <v>7</v>
      </c>
      <c r="AT258" s="8">
        <f t="shared" si="297"/>
        <v>14</v>
      </c>
      <c r="AU258" s="13">
        <f>IF(OR(UPPER(TRIM(AC258))="AB", AC258=901, AC258="901"), 0, IF(ISNUMBER(MATCH(UPPER(TRIM(AC258)), {"A+","A","B+","B","C","D","P"}, 0)), 2, 0))</f>
        <v>2</v>
      </c>
      <c r="AV258" s="13">
        <f t="shared" si="298"/>
        <v>30</v>
      </c>
      <c r="AW258">
        <f t="shared" si="299"/>
        <v>30</v>
      </c>
      <c r="AX258" s="1">
        <f t="shared" si="300"/>
        <v>60</v>
      </c>
      <c r="AY258" s="13">
        <f t="shared" si="304"/>
        <v>249</v>
      </c>
    </row>
    <row r="259" spans="1:51">
      <c r="A259" s="7">
        <v>5075859</v>
      </c>
      <c r="B259" s="7"/>
      <c r="C259" s="33" t="s">
        <v>85</v>
      </c>
      <c r="D259" s="1" t="s">
        <v>47</v>
      </c>
      <c r="E259" s="3">
        <v>1</v>
      </c>
      <c r="F259" s="1" t="s">
        <v>48</v>
      </c>
      <c r="G259" s="1">
        <v>1461411</v>
      </c>
      <c r="H259" s="2" t="s">
        <v>55</v>
      </c>
      <c r="I259" s="5" t="s">
        <v>50</v>
      </c>
      <c r="J259" s="1">
        <v>17</v>
      </c>
      <c r="K259" s="13" t="str">
        <f t="shared" si="301"/>
        <v>P</v>
      </c>
      <c r="L259" s="1">
        <v>12</v>
      </c>
      <c r="M259" s="13" t="str">
        <f t="shared" si="302"/>
        <v>P</v>
      </c>
      <c r="AB259" s="7" t="str">
        <f t="shared" si="293"/>
        <v>29</v>
      </c>
      <c r="AC259" s="13" t="str">
        <f t="shared" si="294"/>
        <v>B</v>
      </c>
      <c r="AD259" s="13" t="str">
        <f t="shared" si="305"/>
        <v>249</v>
      </c>
      <c r="AE259" s="1">
        <v>550</v>
      </c>
      <c r="AF259" s="15">
        <f t="shared" si="303"/>
        <v>45.272727272727273</v>
      </c>
      <c r="AG259" s="13" t="str">
        <f t="shared" si="303"/>
        <v>ATKT</v>
      </c>
      <c r="AI259" s="1">
        <v>22</v>
      </c>
      <c r="AJ259" s="15">
        <f t="shared" si="306"/>
        <v>12</v>
      </c>
      <c r="AK259" s="16">
        <f t="shared" si="306"/>
        <v>72</v>
      </c>
      <c r="AL259" s="7">
        <f t="shared" si="306"/>
        <v>0</v>
      </c>
      <c r="AR259" s="7" t="str">
        <f t="shared" si="295"/>
        <v>F</v>
      </c>
      <c r="AS259" s="8">
        <f t="shared" si="296"/>
        <v>6</v>
      </c>
      <c r="AT259" s="8">
        <f t="shared" si="297"/>
        <v>12</v>
      </c>
      <c r="AU259" s="13">
        <f>IF(OR(UPPER(TRIM(AC259))="AB", AC259=901, AC259="901"), 0, IF(ISNUMBER(MATCH(UPPER(TRIM(AC259)), {"A+","A","B+","B","C","D","P"}, 0)), 2, 0))</f>
        <v>2</v>
      </c>
      <c r="AV259" s="13">
        <f t="shared" si="298"/>
        <v>29</v>
      </c>
      <c r="AW259">
        <f t="shared" si="299"/>
        <v>29</v>
      </c>
      <c r="AX259" s="1">
        <f t="shared" si="300"/>
        <v>57.999999999999993</v>
      </c>
      <c r="AY259" s="13">
        <f t="shared" si="304"/>
        <v>249</v>
      </c>
    </row>
    <row r="260" spans="1:51">
      <c r="A260" s="7">
        <v>5075859</v>
      </c>
      <c r="B260" s="7"/>
      <c r="C260" s="33" t="s">
        <v>85</v>
      </c>
      <c r="D260" s="1" t="s">
        <v>47</v>
      </c>
      <c r="E260" s="3">
        <v>1</v>
      </c>
      <c r="F260" s="1" t="s">
        <v>48</v>
      </c>
      <c r="G260" s="1">
        <v>1461412</v>
      </c>
      <c r="H260" s="2" t="s">
        <v>56</v>
      </c>
      <c r="I260" s="5" t="s">
        <v>50</v>
      </c>
      <c r="J260" s="1">
        <v>12</v>
      </c>
      <c r="K260" s="13" t="str">
        <f t="shared" si="301"/>
        <v>P</v>
      </c>
      <c r="L260" s="1">
        <v>12</v>
      </c>
      <c r="M260" s="13" t="str">
        <f t="shared" si="302"/>
        <v>P</v>
      </c>
      <c r="AB260" s="7" t="str">
        <f t="shared" si="293"/>
        <v>24</v>
      </c>
      <c r="AC260" s="13" t="str">
        <f t="shared" si="294"/>
        <v>D</v>
      </c>
      <c r="AD260" s="13" t="str">
        <f t="shared" si="305"/>
        <v>249</v>
      </c>
      <c r="AE260" s="1">
        <v>550</v>
      </c>
      <c r="AF260" s="15">
        <f t="shared" si="303"/>
        <v>45.272727272727273</v>
      </c>
      <c r="AG260" s="13" t="str">
        <f t="shared" si="303"/>
        <v>ATKT</v>
      </c>
      <c r="AI260" s="1">
        <v>22</v>
      </c>
      <c r="AJ260" s="15">
        <f t="shared" si="306"/>
        <v>12</v>
      </c>
      <c r="AK260" s="16">
        <f t="shared" si="306"/>
        <v>72</v>
      </c>
      <c r="AL260" s="7">
        <f t="shared" si="306"/>
        <v>0</v>
      </c>
      <c r="AR260" s="7" t="str">
        <f t="shared" si="295"/>
        <v>F</v>
      </c>
      <c r="AS260" s="8">
        <f t="shared" si="296"/>
        <v>4</v>
      </c>
      <c r="AT260" s="8">
        <f t="shared" si="297"/>
        <v>8</v>
      </c>
      <c r="AU260" s="13">
        <f>IF(OR(UPPER(TRIM(AC260))="AB", AC260=901, AC260="901"), 0, IF(ISNUMBER(MATCH(UPPER(TRIM(AC260)), {"A+","A","B+","B","C","D","P"}, 0)), 2, 0))</f>
        <v>2</v>
      </c>
      <c r="AV260" s="13">
        <f t="shared" si="298"/>
        <v>24</v>
      </c>
      <c r="AW260">
        <f t="shared" si="299"/>
        <v>24</v>
      </c>
      <c r="AX260" s="1">
        <f t="shared" si="300"/>
        <v>48</v>
      </c>
      <c r="AY260" s="13">
        <f t="shared" si="304"/>
        <v>249</v>
      </c>
    </row>
    <row r="261" spans="1:51">
      <c r="A261" s="7">
        <v>5075859</v>
      </c>
      <c r="B261" s="7"/>
      <c r="C261" s="33" t="s">
        <v>85</v>
      </c>
      <c r="D261" s="1" t="s">
        <v>47</v>
      </c>
      <c r="E261" s="3">
        <v>1</v>
      </c>
      <c r="F261" s="1" t="s">
        <v>48</v>
      </c>
      <c r="G261" s="1">
        <v>2511515</v>
      </c>
      <c r="H261" s="2" t="s">
        <v>57</v>
      </c>
      <c r="I261" s="5" t="s">
        <v>50</v>
      </c>
      <c r="J261" s="1">
        <v>12</v>
      </c>
      <c r="K261" s="13" t="str">
        <f t="shared" si="301"/>
        <v>P</v>
      </c>
      <c r="L261" s="1">
        <v>4</v>
      </c>
      <c r="M261" s="13" t="str">
        <f t="shared" si="302"/>
        <v>F</v>
      </c>
      <c r="AB261" s="7" t="str">
        <f t="shared" si="293"/>
        <v>16</v>
      </c>
      <c r="AC261" s="13" t="str">
        <f t="shared" si="294"/>
        <v>F</v>
      </c>
      <c r="AD261" s="13" t="str">
        <f t="shared" si="305"/>
        <v>249</v>
      </c>
      <c r="AE261" s="1">
        <v>550</v>
      </c>
      <c r="AF261" s="15">
        <f t="shared" si="303"/>
        <v>45.272727272727273</v>
      </c>
      <c r="AG261" s="13" t="str">
        <f t="shared" si="303"/>
        <v>ATKT</v>
      </c>
      <c r="AI261" s="1">
        <v>22</v>
      </c>
      <c r="AJ261" s="15">
        <f t="shared" si="306"/>
        <v>12</v>
      </c>
      <c r="AK261" s="16">
        <f t="shared" si="306"/>
        <v>72</v>
      </c>
      <c r="AL261" s="7">
        <f t="shared" si="306"/>
        <v>0</v>
      </c>
      <c r="AR261" s="7" t="str">
        <f t="shared" si="295"/>
        <v>F</v>
      </c>
      <c r="AS261" s="8">
        <f t="shared" si="296"/>
        <v>0</v>
      </c>
      <c r="AT261" s="8">
        <f t="shared" si="297"/>
        <v>0</v>
      </c>
      <c r="AU261" s="13">
        <f>IF(OR(UPPER(TRIM(AC261))="AB", AC261=901, AC261="901"), 0, IF(ISNUMBER(MATCH(UPPER(TRIM(AC261)), {"A+","A","B+","B","C","D","P"}, 0)), 2, 0))</f>
        <v>0</v>
      </c>
      <c r="AV261" s="13">
        <f t="shared" si="298"/>
        <v>16</v>
      </c>
      <c r="AW261">
        <f t="shared" si="299"/>
        <v>16</v>
      </c>
      <c r="AX261" s="1">
        <f t="shared" si="300"/>
        <v>32</v>
      </c>
      <c r="AY261" s="13">
        <f t="shared" si="304"/>
        <v>249</v>
      </c>
    </row>
    <row r="262" spans="1:51">
      <c r="A262" s="7">
        <v>5075859</v>
      </c>
      <c r="B262" s="7"/>
      <c r="C262" s="33" t="s">
        <v>85</v>
      </c>
      <c r="D262" s="1" t="s">
        <v>47</v>
      </c>
      <c r="E262" s="3">
        <v>1</v>
      </c>
      <c r="F262" s="1" t="s">
        <v>48</v>
      </c>
      <c r="G262" s="1">
        <v>2521615</v>
      </c>
      <c r="H262" s="4" t="s">
        <v>58</v>
      </c>
      <c r="I262" s="5" t="s">
        <v>50</v>
      </c>
      <c r="J262" s="1">
        <v>18</v>
      </c>
      <c r="K262" s="13" t="str">
        <f t="shared" si="301"/>
        <v>P</v>
      </c>
      <c r="L262" s="1">
        <v>12</v>
      </c>
      <c r="M262" s="13" t="str">
        <f t="shared" si="302"/>
        <v>P</v>
      </c>
      <c r="AB262" s="7" t="str">
        <f t="shared" si="293"/>
        <v>30</v>
      </c>
      <c r="AC262" s="13" t="str">
        <f t="shared" si="294"/>
        <v>B+</v>
      </c>
      <c r="AD262" s="13" t="str">
        <f t="shared" si="305"/>
        <v>249</v>
      </c>
      <c r="AE262" s="1">
        <v>550</v>
      </c>
      <c r="AF262" s="15">
        <f t="shared" si="303"/>
        <v>45.272727272727273</v>
      </c>
      <c r="AG262" s="13" t="str">
        <f t="shared" si="303"/>
        <v>ATKT</v>
      </c>
      <c r="AI262" s="1">
        <v>22</v>
      </c>
      <c r="AJ262" s="15">
        <f t="shared" si="306"/>
        <v>12</v>
      </c>
      <c r="AK262" s="16">
        <f t="shared" si="306"/>
        <v>72</v>
      </c>
      <c r="AL262" s="7">
        <f t="shared" si="306"/>
        <v>0</v>
      </c>
      <c r="AR262" s="7" t="str">
        <f t="shared" si="295"/>
        <v>F</v>
      </c>
      <c r="AS262" s="8">
        <f t="shared" si="296"/>
        <v>7</v>
      </c>
      <c r="AT262" s="8">
        <f t="shared" si="297"/>
        <v>14</v>
      </c>
      <c r="AU262" s="13">
        <f>IF(OR(UPPER(TRIM(AC262))="AB", AC262=901, AC262="901"), 0, IF(ISNUMBER(MATCH(UPPER(TRIM(AC262)), {"A+","A","B+","B","C","D","P"}, 0)), 2, 0))</f>
        <v>2</v>
      </c>
      <c r="AV262" s="13">
        <f t="shared" si="298"/>
        <v>30</v>
      </c>
      <c r="AW262">
        <f t="shared" si="299"/>
        <v>30</v>
      </c>
      <c r="AX262" s="1">
        <f t="shared" si="300"/>
        <v>60</v>
      </c>
      <c r="AY262" s="13">
        <f t="shared" si="304"/>
        <v>249</v>
      </c>
    </row>
    <row r="263" spans="1:51">
      <c r="A263" s="7">
        <v>5075859</v>
      </c>
      <c r="B263" s="7"/>
      <c r="C263" s="33" t="s">
        <v>85</v>
      </c>
      <c r="D263" s="1" t="s">
        <v>47</v>
      </c>
      <c r="E263" s="3">
        <v>1</v>
      </c>
      <c r="F263" s="1" t="s">
        <v>48</v>
      </c>
      <c r="G263" s="1">
        <v>2531511</v>
      </c>
      <c r="H263" s="2" t="s">
        <v>59</v>
      </c>
      <c r="I263" s="5" t="s">
        <v>50</v>
      </c>
      <c r="J263" s="1">
        <v>12</v>
      </c>
      <c r="K263" s="13" t="str">
        <f t="shared" si="301"/>
        <v>P</v>
      </c>
      <c r="L263" s="1">
        <v>4</v>
      </c>
      <c r="M263" s="13" t="str">
        <f t="shared" si="302"/>
        <v>F</v>
      </c>
      <c r="AB263" s="7" t="str">
        <f t="shared" si="293"/>
        <v>16</v>
      </c>
      <c r="AC263" s="13" t="str">
        <f t="shared" si="294"/>
        <v>F</v>
      </c>
      <c r="AD263" s="13" t="str">
        <f t="shared" si="305"/>
        <v>249</v>
      </c>
      <c r="AE263" s="1">
        <v>550</v>
      </c>
      <c r="AF263" s="15">
        <f t="shared" si="303"/>
        <v>45.272727272727273</v>
      </c>
      <c r="AG263" s="13" t="str">
        <f t="shared" si="303"/>
        <v>ATKT</v>
      </c>
      <c r="AI263" s="1">
        <v>22</v>
      </c>
      <c r="AJ263" s="15">
        <f t="shared" si="306"/>
        <v>12</v>
      </c>
      <c r="AK263" s="16">
        <f t="shared" si="306"/>
        <v>72</v>
      </c>
      <c r="AL263" s="7">
        <f t="shared" si="306"/>
        <v>0</v>
      </c>
      <c r="AR263" s="7" t="str">
        <f t="shared" si="295"/>
        <v>F</v>
      </c>
      <c r="AS263" s="8">
        <f t="shared" si="296"/>
        <v>0</v>
      </c>
      <c r="AT263" s="8">
        <f t="shared" si="297"/>
        <v>0</v>
      </c>
      <c r="AU263" s="13">
        <f>IF(OR(UPPER(TRIM(AC263))="AB", AC263=901, AC263="901"), 0, IF(ISNUMBER(MATCH(UPPER(TRIM(AC263)), {"A+","A","B+","B","C","D","P"}, 0)), 2, 0))</f>
        <v>0</v>
      </c>
      <c r="AV263" s="13">
        <f t="shared" si="298"/>
        <v>16</v>
      </c>
      <c r="AW263">
        <f t="shared" si="299"/>
        <v>16</v>
      </c>
      <c r="AX263" s="1">
        <f t="shared" si="300"/>
        <v>32</v>
      </c>
      <c r="AY263" s="13">
        <f t="shared" si="304"/>
        <v>249</v>
      </c>
    </row>
    <row r="264" spans="1:51">
      <c r="A264" s="7">
        <v>5075859</v>
      </c>
      <c r="B264" s="7"/>
      <c r="C264" s="33" t="s">
        <v>85</v>
      </c>
      <c r="D264" s="1" t="s">
        <v>47</v>
      </c>
      <c r="E264" s="3">
        <v>1</v>
      </c>
      <c r="F264" s="1" t="s">
        <v>48</v>
      </c>
      <c r="G264" s="1">
        <v>2541515</v>
      </c>
      <c r="H264" s="2" t="s">
        <v>60</v>
      </c>
      <c r="I264" s="5" t="s">
        <v>50</v>
      </c>
      <c r="J264" s="1">
        <v>16</v>
      </c>
      <c r="K264" s="13" t="str">
        <f t="shared" si="301"/>
        <v>P</v>
      </c>
      <c r="L264" s="6">
        <v>1</v>
      </c>
      <c r="M264" s="13" t="str">
        <f t="shared" si="302"/>
        <v>F</v>
      </c>
      <c r="AB264" s="7" t="str">
        <f t="shared" si="293"/>
        <v>17</v>
      </c>
      <c r="AC264" s="13" t="str">
        <f t="shared" si="294"/>
        <v>F</v>
      </c>
      <c r="AD264" s="13" t="str">
        <f t="shared" si="305"/>
        <v>249</v>
      </c>
      <c r="AE264" s="1">
        <v>550</v>
      </c>
      <c r="AF264" s="15">
        <f t="shared" si="303"/>
        <v>45.272727272727273</v>
      </c>
      <c r="AG264" s="13" t="str">
        <f t="shared" si="303"/>
        <v>ATKT</v>
      </c>
      <c r="AI264" s="1">
        <v>22</v>
      </c>
      <c r="AJ264" s="15">
        <f t="shared" si="306"/>
        <v>12</v>
      </c>
      <c r="AK264" s="16">
        <f t="shared" si="306"/>
        <v>72</v>
      </c>
      <c r="AL264" s="7">
        <f t="shared" si="306"/>
        <v>0</v>
      </c>
      <c r="AR264" s="7" t="str">
        <f t="shared" si="295"/>
        <v>F</v>
      </c>
      <c r="AS264" s="8">
        <f t="shared" si="296"/>
        <v>0</v>
      </c>
      <c r="AT264" s="8">
        <f t="shared" si="297"/>
        <v>0</v>
      </c>
      <c r="AU264" s="13">
        <f>IF(OR(UPPER(TRIM(AC264))="AB", AC264=901, AC264="901"), 0, IF(ISNUMBER(MATCH(UPPER(TRIM(AC264)), {"A+","A","B+","B","C","D","P"}, 0)), 2, 0))</f>
        <v>0</v>
      </c>
      <c r="AV264" s="13">
        <f t="shared" si="298"/>
        <v>17</v>
      </c>
      <c r="AW264">
        <f t="shared" si="299"/>
        <v>17</v>
      </c>
      <c r="AX264" s="1">
        <f t="shared" si="300"/>
        <v>34</v>
      </c>
      <c r="AY264" s="13">
        <f t="shared" si="304"/>
        <v>249</v>
      </c>
    </row>
    <row r="266" spans="1:51">
      <c r="A266" s="7">
        <v>5249806</v>
      </c>
      <c r="B266" s="7"/>
      <c r="C266" s="33" t="s">
        <v>86</v>
      </c>
      <c r="D266" s="1" t="s">
        <v>47</v>
      </c>
      <c r="E266" s="3">
        <v>1</v>
      </c>
      <c r="F266" s="1" t="s">
        <v>48</v>
      </c>
      <c r="G266" s="1">
        <v>1011312</v>
      </c>
      <c r="H266" s="2" t="s">
        <v>49</v>
      </c>
      <c r="I266" s="5" t="s">
        <v>50</v>
      </c>
      <c r="J266" s="6">
        <v>901</v>
      </c>
      <c r="K266" s="13" t="str">
        <f>IF(OR(UPPER(TRIM(J266))="AB",J266=901,J266="901"),"F",IF(J266&gt;=8,"P","F"))</f>
        <v>F</v>
      </c>
      <c r="L266" s="1">
        <v>901</v>
      </c>
      <c r="M266" s="13" t="str">
        <f>IF(OR(UPPER(TRIM(L266))="AB",L266=901,L266="901"),"F",IF(L266&gt;=8,"P","F"))</f>
        <v>F</v>
      </c>
      <c r="N266" s="13"/>
      <c r="O266" s="13"/>
      <c r="P266" s="13"/>
      <c r="Q266" s="13"/>
      <c r="R266" s="13"/>
      <c r="S266" s="13"/>
      <c r="T266" s="13"/>
      <c r="U266" s="13"/>
      <c r="V266" s="13"/>
      <c r="W266" s="13"/>
      <c r="X266" s="13"/>
      <c r="Y266" s="13"/>
      <c r="Z266" s="13"/>
      <c r="AB266" s="7" t="str">
        <f t="shared" ref="AB266:AB276" si="307">AV266 &amp; IF(AA266&lt;&gt;"", " @ " &amp; AA266, "")</f>
        <v>0</v>
      </c>
      <c r="AC266" s="13" t="str">
        <f t="shared" ref="AC266:AC276" si="308">IF(AX266&gt;=90,"O",
IF(AX266&gt;=80,"A+",
IF(AX266&gt;=70,"A",
IF(AX266&gt;=60,"B+",
IF(AX266&gt;=55,"B",
IF(AX266&gt;=50,"C",
IF(AX266&gt;=40,"D","F")))))))</f>
        <v>F</v>
      </c>
      <c r="AD266" s="13" t="str">
        <f>SUM(AV266:AV276) &amp; IF(SUM(AA266:AA276)&gt;0, " @ " &amp; SUM(AA266:AA276), "")</f>
        <v>216</v>
      </c>
      <c r="AE266" s="1">
        <v>550</v>
      </c>
      <c r="AF266" s="15">
        <f>AY266/AE266*100</f>
        <v>39.272727272727273</v>
      </c>
      <c r="AG266" s="13" t="str" cm="1">
        <f t="array" ref="AG266">IF(
  SUMPRODUCT(--(IFERROR(VALUE(J266:J276),9999)&lt;8))
  + SUMPRODUCT(--(IFERROR(VALUE(L266:L276),9999)&lt;12))
  + COUNTIF(J266:J276,"AB") + COUNTIF(L266:L276,"AB")
  + COUNTIF(J266:J276,901) + COUNTIF(L266:L276,901) &gt; 0,
  "ATKT",
  "PASS"
)</f>
        <v>ATKT</v>
      </c>
      <c r="AI266" s="1">
        <v>22</v>
      </c>
      <c r="AJ266" s="15">
        <f>SUM(AU266:AU276)</f>
        <v>14</v>
      </c>
      <c r="AK266" s="16">
        <f>SUM(AT266:AT276)</f>
        <v>68</v>
      </c>
      <c r="AL266" s="7">
        <f>IF(UPPER(TRIM(AG266))="ATKT",0,ROUND( (SUM(AT266:AT276) /22), 2))</f>
        <v>0</v>
      </c>
      <c r="AR266" s="7" t="str">
        <f t="shared" ref="AR266:AR276" si="309">IF(AL266&gt;=9,"O", IF(AL266&gt;=8,"A+", IF(AL266&gt;=7,"A", IF(AL266&gt;=6,"B+", IF(AL266&gt;=5.5,"B", IF(AL266&gt;=5,"C", IF(AL266&gt;=4,"D","F")))))))</f>
        <v>F</v>
      </c>
      <c r="AS266" s="8">
        <f t="shared" ref="AS266:AS276" si="310">IF(AX266&gt;=90,10,
IF(AX266&gt;=80,9,
IF(AX266&gt;=70,8,
IF(AX266&gt;=60,7,
IF(AX266&gt;=55,6,
IF(AX266&gt;=50,5,
IF(AX266&gt;=40,4,0)))))))</f>
        <v>0</v>
      </c>
      <c r="AT266" s="8">
        <f t="shared" ref="AT266:AT276" si="311">AS266*I266</f>
        <v>0</v>
      </c>
      <c r="AU266" s="13">
        <f>IF(OR(UPPER(TRIM(AC266))="AB", AC266=901, AC266="901"), 0, IF(ISNUMBER(MATCH(UPPER(TRIM(AC266)), {"A+","A","B+","B","C","D","P"}, 0)), 2, 0))</f>
        <v>0</v>
      </c>
      <c r="AV266" s="13">
        <f t="shared" ref="AV266:AV276" si="312">SUM(
IF(OR(UPPER(TRIM(J266))="AB",J266=901,J266="901"),0,IFERROR(VALUE(J266),0)),
IF(OR(UPPER(TRIM(L266))="AB",L266=901,L266="901"),0,IFERROR(VALUE(L266),0)),
IF(OR(UPPER(TRIM(N266))="AB",N266=901,N266="901"),0,IFERROR(VALUE(N266),0))
)</f>
        <v>0</v>
      </c>
      <c r="AW266">
        <f t="shared" ref="AW266:AW276" si="313">AA266+AV266</f>
        <v>0</v>
      </c>
      <c r="AX266" s="1">
        <f t="shared" ref="AX266:AX276" si="314">(AW266 / 50) * 100</f>
        <v>0</v>
      </c>
      <c r="AY266" s="13">
        <f>SUM(AW266:AW276)</f>
        <v>216</v>
      </c>
    </row>
    <row r="267" spans="1:51">
      <c r="A267" s="7">
        <v>5249806</v>
      </c>
      <c r="B267" s="7"/>
      <c r="C267" s="33" t="s">
        <v>86</v>
      </c>
      <c r="D267" s="1" t="s">
        <v>47</v>
      </c>
      <c r="E267" s="3">
        <v>1</v>
      </c>
      <c r="F267" s="1" t="s">
        <v>48</v>
      </c>
      <c r="G267" s="1">
        <v>1171312</v>
      </c>
      <c r="H267" s="2" t="s">
        <v>51</v>
      </c>
      <c r="I267" s="5" t="s">
        <v>50</v>
      </c>
      <c r="J267" s="1">
        <v>18</v>
      </c>
      <c r="K267" s="13" t="str">
        <f t="shared" ref="K267:K276" si="315">IF(OR(UPPER(TRIM(J267))="AB",J267=901,J267="901"),"F",IF(J267&gt;=8,"P","F"))</f>
        <v>P</v>
      </c>
      <c r="L267" s="1">
        <v>12</v>
      </c>
      <c r="M267" s="13" t="str">
        <f t="shared" ref="M267:M276" si="316">IF(OR(UPPER(TRIM(L267))="AB",L267=901,L267="901"),"F",IF(L267&gt;=8,"P","F"))</f>
        <v>P</v>
      </c>
      <c r="AB267" s="7" t="str">
        <f t="shared" si="307"/>
        <v>30</v>
      </c>
      <c r="AC267" s="13" t="str">
        <f t="shared" si="308"/>
        <v>B+</v>
      </c>
      <c r="AD267" s="13" t="str">
        <f>AD266</f>
        <v>216</v>
      </c>
      <c r="AE267" s="1">
        <v>550</v>
      </c>
      <c r="AF267" s="15">
        <f t="shared" ref="AF267:AG276" si="317">AF266</f>
        <v>39.272727272727273</v>
      </c>
      <c r="AG267" s="13" t="str">
        <f t="shared" si="317"/>
        <v>ATKT</v>
      </c>
      <c r="AI267" s="1">
        <v>22</v>
      </c>
      <c r="AJ267" s="15">
        <f>AJ266</f>
        <v>14</v>
      </c>
      <c r="AK267" s="16">
        <f>AK266</f>
        <v>68</v>
      </c>
      <c r="AL267" s="7">
        <f>AL266</f>
        <v>0</v>
      </c>
      <c r="AR267" s="7" t="str">
        <f t="shared" si="309"/>
        <v>F</v>
      </c>
      <c r="AS267" s="8">
        <f t="shared" si="310"/>
        <v>7</v>
      </c>
      <c r="AT267" s="8">
        <f t="shared" si="311"/>
        <v>14</v>
      </c>
      <c r="AU267" s="13">
        <f>IF(OR(UPPER(TRIM(AC267))="AB", AC267=901, AC267="901"), 0, IF(ISNUMBER(MATCH(UPPER(TRIM(AC267)), {"A+","A","B+","B","C","D","P"}, 0)), 2, 0))</f>
        <v>2</v>
      </c>
      <c r="AV267" s="13">
        <f t="shared" si="312"/>
        <v>30</v>
      </c>
      <c r="AW267">
        <f t="shared" si="313"/>
        <v>30</v>
      </c>
      <c r="AX267" s="1">
        <f t="shared" si="314"/>
        <v>60</v>
      </c>
      <c r="AY267" s="13">
        <f t="shared" ref="AY267:AY276" si="318">AY266</f>
        <v>216</v>
      </c>
    </row>
    <row r="268" spans="1:51">
      <c r="A268" s="7">
        <v>5249806</v>
      </c>
      <c r="B268" s="7"/>
      <c r="C268" s="33" t="s">
        <v>86</v>
      </c>
      <c r="D268" s="1" t="s">
        <v>47</v>
      </c>
      <c r="E268" s="3">
        <v>1</v>
      </c>
      <c r="F268" s="1" t="s">
        <v>48</v>
      </c>
      <c r="G268" s="1">
        <v>1461111</v>
      </c>
      <c r="H268" s="2" t="s">
        <v>52</v>
      </c>
      <c r="I268" s="5" t="s">
        <v>50</v>
      </c>
      <c r="J268" s="1">
        <v>12</v>
      </c>
      <c r="K268" s="13" t="str">
        <f t="shared" si="315"/>
        <v>P</v>
      </c>
      <c r="L268" s="1">
        <v>1</v>
      </c>
      <c r="M268" s="13" t="str">
        <f t="shared" si="316"/>
        <v>F</v>
      </c>
      <c r="AB268" s="7" t="str">
        <f t="shared" si="307"/>
        <v>13</v>
      </c>
      <c r="AC268" s="13" t="str">
        <f t="shared" si="308"/>
        <v>F</v>
      </c>
      <c r="AD268" s="13" t="str">
        <f t="shared" ref="AD268:AD276" si="319">AD267</f>
        <v>216</v>
      </c>
      <c r="AE268" s="1">
        <v>550</v>
      </c>
      <c r="AF268" s="15">
        <f t="shared" si="317"/>
        <v>39.272727272727273</v>
      </c>
      <c r="AG268" s="13" t="str">
        <f t="shared" si="317"/>
        <v>ATKT</v>
      </c>
      <c r="AI268" s="1">
        <v>22</v>
      </c>
      <c r="AJ268" s="15">
        <f t="shared" ref="AJ268:AL276" si="320">AJ267</f>
        <v>14</v>
      </c>
      <c r="AK268" s="16">
        <f t="shared" si="320"/>
        <v>68</v>
      </c>
      <c r="AL268" s="7">
        <f t="shared" si="320"/>
        <v>0</v>
      </c>
      <c r="AR268" s="7" t="str">
        <f t="shared" si="309"/>
        <v>F</v>
      </c>
      <c r="AS268" s="8">
        <f t="shared" si="310"/>
        <v>0</v>
      </c>
      <c r="AT268" s="8">
        <f t="shared" si="311"/>
        <v>0</v>
      </c>
      <c r="AU268" s="13">
        <f>IF(OR(UPPER(TRIM(AC268))="AB", AC268=901, AC268="901"), 0, IF(ISNUMBER(MATCH(UPPER(TRIM(AC268)), {"A+","A","B+","B","C","D","P"}, 0)), 2, 0))</f>
        <v>0</v>
      </c>
      <c r="AV268" s="13">
        <f t="shared" si="312"/>
        <v>13</v>
      </c>
      <c r="AW268">
        <f t="shared" si="313"/>
        <v>13</v>
      </c>
      <c r="AX268" s="1">
        <f t="shared" si="314"/>
        <v>26</v>
      </c>
      <c r="AY268" s="13">
        <f t="shared" si="318"/>
        <v>216</v>
      </c>
    </row>
    <row r="269" spans="1:51">
      <c r="A269" s="7">
        <v>5249806</v>
      </c>
      <c r="B269" s="7"/>
      <c r="C269" s="33" t="s">
        <v>86</v>
      </c>
      <c r="D269" s="1" t="s">
        <v>47</v>
      </c>
      <c r="E269" s="3">
        <v>1</v>
      </c>
      <c r="F269" s="1" t="s">
        <v>48</v>
      </c>
      <c r="G269" s="1">
        <v>1461112</v>
      </c>
      <c r="H269" s="2" t="s">
        <v>53</v>
      </c>
      <c r="I269" s="5" t="s">
        <v>50</v>
      </c>
      <c r="J269" s="1">
        <v>12</v>
      </c>
      <c r="K269" s="13" t="str">
        <f t="shared" si="315"/>
        <v>P</v>
      </c>
      <c r="L269" s="1">
        <v>5</v>
      </c>
      <c r="M269" s="13" t="str">
        <f t="shared" si="316"/>
        <v>F</v>
      </c>
      <c r="AB269" s="7" t="str">
        <f t="shared" si="307"/>
        <v>17</v>
      </c>
      <c r="AC269" s="13" t="str">
        <f t="shared" si="308"/>
        <v>F</v>
      </c>
      <c r="AD269" s="13" t="str">
        <f t="shared" si="319"/>
        <v>216</v>
      </c>
      <c r="AE269" s="1">
        <v>550</v>
      </c>
      <c r="AF269" s="15">
        <f t="shared" si="317"/>
        <v>39.272727272727273</v>
      </c>
      <c r="AG269" s="13" t="str">
        <f t="shared" si="317"/>
        <v>ATKT</v>
      </c>
      <c r="AI269" s="1">
        <v>22</v>
      </c>
      <c r="AJ269" s="15">
        <f t="shared" si="320"/>
        <v>14</v>
      </c>
      <c r="AK269" s="16">
        <f t="shared" si="320"/>
        <v>68</v>
      </c>
      <c r="AL269" s="7">
        <f t="shared" si="320"/>
        <v>0</v>
      </c>
      <c r="AR269" s="7" t="str">
        <f t="shared" si="309"/>
        <v>F</v>
      </c>
      <c r="AS269" s="8">
        <f t="shared" si="310"/>
        <v>0</v>
      </c>
      <c r="AT269" s="8">
        <f t="shared" si="311"/>
        <v>0</v>
      </c>
      <c r="AU269" s="13">
        <f>IF(OR(UPPER(TRIM(AC269))="AB", AC269=901, AC269="901"), 0, IF(ISNUMBER(MATCH(UPPER(TRIM(AC269)), {"A+","A","B+","B","C","D","P"}, 0)), 2, 0))</f>
        <v>0</v>
      </c>
      <c r="AV269" s="13">
        <f t="shared" si="312"/>
        <v>17</v>
      </c>
      <c r="AW269">
        <f t="shared" si="313"/>
        <v>17</v>
      </c>
      <c r="AX269" s="1">
        <f t="shared" si="314"/>
        <v>34</v>
      </c>
      <c r="AY269" s="13">
        <f t="shared" si="318"/>
        <v>216</v>
      </c>
    </row>
    <row r="270" spans="1:51">
      <c r="A270" s="7">
        <v>5249806</v>
      </c>
      <c r="B270" s="7"/>
      <c r="C270" s="33" t="s">
        <v>86</v>
      </c>
      <c r="D270" s="1" t="s">
        <v>47</v>
      </c>
      <c r="E270" s="3">
        <v>1</v>
      </c>
      <c r="F270" s="1" t="s">
        <v>48</v>
      </c>
      <c r="G270" s="1">
        <v>1461113</v>
      </c>
      <c r="H270" s="2" t="s">
        <v>54</v>
      </c>
      <c r="I270" s="5" t="s">
        <v>50</v>
      </c>
      <c r="J270" s="1">
        <v>10</v>
      </c>
      <c r="K270" s="13" t="str">
        <f t="shared" si="315"/>
        <v>P</v>
      </c>
      <c r="L270" s="1">
        <v>12</v>
      </c>
      <c r="M270" s="13" t="str">
        <f t="shared" si="316"/>
        <v>P</v>
      </c>
      <c r="AB270" s="7" t="str">
        <f t="shared" si="307"/>
        <v>22</v>
      </c>
      <c r="AC270" s="13" t="str">
        <f t="shared" si="308"/>
        <v>D</v>
      </c>
      <c r="AD270" s="13" t="str">
        <f t="shared" si="319"/>
        <v>216</v>
      </c>
      <c r="AE270" s="1">
        <v>550</v>
      </c>
      <c r="AF270" s="15">
        <f t="shared" si="317"/>
        <v>39.272727272727273</v>
      </c>
      <c r="AG270" s="13" t="str">
        <f t="shared" si="317"/>
        <v>ATKT</v>
      </c>
      <c r="AI270" s="1">
        <v>22</v>
      </c>
      <c r="AJ270" s="15">
        <f t="shared" si="320"/>
        <v>14</v>
      </c>
      <c r="AK270" s="16">
        <f t="shared" si="320"/>
        <v>68</v>
      </c>
      <c r="AL270" s="7">
        <f t="shared" si="320"/>
        <v>0</v>
      </c>
      <c r="AR270" s="7" t="str">
        <f t="shared" si="309"/>
        <v>F</v>
      </c>
      <c r="AS270" s="8">
        <f t="shared" si="310"/>
        <v>4</v>
      </c>
      <c r="AT270" s="8">
        <f t="shared" si="311"/>
        <v>8</v>
      </c>
      <c r="AU270" s="13">
        <f>IF(OR(UPPER(TRIM(AC270))="AB", AC270=901, AC270="901"), 0, IF(ISNUMBER(MATCH(UPPER(TRIM(AC270)), {"A+","A","B+","B","C","D","P"}, 0)), 2, 0))</f>
        <v>2</v>
      </c>
      <c r="AV270" s="13">
        <f t="shared" si="312"/>
        <v>22</v>
      </c>
      <c r="AW270">
        <f t="shared" si="313"/>
        <v>22</v>
      </c>
      <c r="AX270" s="1">
        <f t="shared" si="314"/>
        <v>44</v>
      </c>
      <c r="AY270" s="13">
        <f t="shared" si="318"/>
        <v>216</v>
      </c>
    </row>
    <row r="271" spans="1:51">
      <c r="A271" s="7">
        <v>5249806</v>
      </c>
      <c r="B271" s="7"/>
      <c r="C271" s="33" t="s">
        <v>86</v>
      </c>
      <c r="D271" s="1" t="s">
        <v>47</v>
      </c>
      <c r="E271" s="3">
        <v>1</v>
      </c>
      <c r="F271" s="1" t="s">
        <v>48</v>
      </c>
      <c r="G271" s="1">
        <v>1461411</v>
      </c>
      <c r="H271" s="2" t="s">
        <v>55</v>
      </c>
      <c r="I271" s="5" t="s">
        <v>50</v>
      </c>
      <c r="J271" s="1">
        <v>13</v>
      </c>
      <c r="K271" s="13" t="str">
        <f t="shared" si="315"/>
        <v>P</v>
      </c>
      <c r="L271" s="1">
        <v>12</v>
      </c>
      <c r="M271" s="13" t="str">
        <f t="shared" si="316"/>
        <v>P</v>
      </c>
      <c r="AB271" s="7" t="str">
        <f t="shared" si="307"/>
        <v>25</v>
      </c>
      <c r="AC271" s="13" t="str">
        <f t="shared" si="308"/>
        <v>C</v>
      </c>
      <c r="AD271" s="13" t="str">
        <f t="shared" si="319"/>
        <v>216</v>
      </c>
      <c r="AE271" s="1">
        <v>550</v>
      </c>
      <c r="AF271" s="15">
        <f t="shared" si="317"/>
        <v>39.272727272727273</v>
      </c>
      <c r="AG271" s="13" t="str">
        <f t="shared" si="317"/>
        <v>ATKT</v>
      </c>
      <c r="AI271" s="1">
        <v>22</v>
      </c>
      <c r="AJ271" s="15">
        <f t="shared" si="320"/>
        <v>14</v>
      </c>
      <c r="AK271" s="16">
        <f t="shared" si="320"/>
        <v>68</v>
      </c>
      <c r="AL271" s="7">
        <f t="shared" si="320"/>
        <v>0</v>
      </c>
      <c r="AR271" s="7" t="str">
        <f t="shared" si="309"/>
        <v>F</v>
      </c>
      <c r="AS271" s="8">
        <f t="shared" si="310"/>
        <v>5</v>
      </c>
      <c r="AT271" s="8">
        <f t="shared" si="311"/>
        <v>10</v>
      </c>
      <c r="AU271" s="13">
        <f>IF(OR(UPPER(TRIM(AC271))="AB", AC271=901, AC271="901"), 0, IF(ISNUMBER(MATCH(UPPER(TRIM(AC271)), {"A+","A","B+","B","C","D","P"}, 0)), 2, 0))</f>
        <v>2</v>
      </c>
      <c r="AV271" s="13">
        <f t="shared" si="312"/>
        <v>25</v>
      </c>
      <c r="AW271">
        <f t="shared" si="313"/>
        <v>25</v>
      </c>
      <c r="AX271" s="1">
        <f t="shared" si="314"/>
        <v>50</v>
      </c>
      <c r="AY271" s="13">
        <f t="shared" si="318"/>
        <v>216</v>
      </c>
    </row>
    <row r="272" spans="1:51">
      <c r="A272" s="7">
        <v>5249806</v>
      </c>
      <c r="B272" s="7"/>
      <c r="C272" s="33" t="s">
        <v>86</v>
      </c>
      <c r="D272" s="1" t="s">
        <v>47</v>
      </c>
      <c r="E272" s="3">
        <v>1</v>
      </c>
      <c r="F272" s="1" t="s">
        <v>48</v>
      </c>
      <c r="G272" s="1">
        <v>1461412</v>
      </c>
      <c r="H272" s="2" t="s">
        <v>56</v>
      </c>
      <c r="I272" s="5" t="s">
        <v>50</v>
      </c>
      <c r="J272" s="1">
        <v>12</v>
      </c>
      <c r="K272" s="13" t="str">
        <f t="shared" si="315"/>
        <v>P</v>
      </c>
      <c r="L272" s="1">
        <v>901</v>
      </c>
      <c r="M272" s="13" t="str">
        <f t="shared" si="316"/>
        <v>F</v>
      </c>
      <c r="AB272" s="7" t="str">
        <f t="shared" si="307"/>
        <v>12</v>
      </c>
      <c r="AC272" s="13" t="str">
        <f t="shared" si="308"/>
        <v>F</v>
      </c>
      <c r="AD272" s="13" t="str">
        <f t="shared" si="319"/>
        <v>216</v>
      </c>
      <c r="AE272" s="1">
        <v>550</v>
      </c>
      <c r="AF272" s="15">
        <f t="shared" si="317"/>
        <v>39.272727272727273</v>
      </c>
      <c r="AG272" s="13" t="str">
        <f t="shared" si="317"/>
        <v>ATKT</v>
      </c>
      <c r="AI272" s="1">
        <v>22</v>
      </c>
      <c r="AJ272" s="15">
        <f t="shared" si="320"/>
        <v>14</v>
      </c>
      <c r="AK272" s="16">
        <f t="shared" si="320"/>
        <v>68</v>
      </c>
      <c r="AL272" s="7">
        <f t="shared" si="320"/>
        <v>0</v>
      </c>
      <c r="AR272" s="7" t="str">
        <f t="shared" si="309"/>
        <v>F</v>
      </c>
      <c r="AS272" s="8">
        <f t="shared" si="310"/>
        <v>0</v>
      </c>
      <c r="AT272" s="8">
        <f t="shared" si="311"/>
        <v>0</v>
      </c>
      <c r="AU272" s="13">
        <f>IF(OR(UPPER(TRIM(AC272))="AB", AC272=901, AC272="901"), 0, IF(ISNUMBER(MATCH(UPPER(TRIM(AC272)), {"A+","A","B+","B","C","D","P"}, 0)), 2, 0))</f>
        <v>0</v>
      </c>
      <c r="AV272" s="13">
        <f t="shared" si="312"/>
        <v>12</v>
      </c>
      <c r="AW272">
        <f t="shared" si="313"/>
        <v>12</v>
      </c>
      <c r="AX272" s="1">
        <f t="shared" si="314"/>
        <v>24</v>
      </c>
      <c r="AY272" s="13">
        <f t="shared" si="318"/>
        <v>216</v>
      </c>
    </row>
    <row r="273" spans="1:51">
      <c r="A273" s="7">
        <v>5249806</v>
      </c>
      <c r="B273" s="7"/>
      <c r="C273" s="33" t="s">
        <v>86</v>
      </c>
      <c r="D273" s="1" t="s">
        <v>47</v>
      </c>
      <c r="E273" s="3">
        <v>1</v>
      </c>
      <c r="F273" s="1" t="s">
        <v>48</v>
      </c>
      <c r="G273" s="1">
        <v>2511515</v>
      </c>
      <c r="H273" s="2" t="s">
        <v>57</v>
      </c>
      <c r="I273" s="5" t="s">
        <v>50</v>
      </c>
      <c r="J273" s="1">
        <v>12</v>
      </c>
      <c r="K273" s="13" t="str">
        <f t="shared" si="315"/>
        <v>P</v>
      </c>
      <c r="L273" s="1">
        <v>12</v>
      </c>
      <c r="M273" s="13" t="str">
        <f t="shared" si="316"/>
        <v>P</v>
      </c>
      <c r="AB273" s="7" t="str">
        <f t="shared" si="307"/>
        <v>24</v>
      </c>
      <c r="AC273" s="13" t="str">
        <f t="shared" si="308"/>
        <v>D</v>
      </c>
      <c r="AD273" s="13" t="str">
        <f t="shared" si="319"/>
        <v>216</v>
      </c>
      <c r="AE273" s="1">
        <v>550</v>
      </c>
      <c r="AF273" s="15">
        <f t="shared" si="317"/>
        <v>39.272727272727273</v>
      </c>
      <c r="AG273" s="13" t="str">
        <f t="shared" si="317"/>
        <v>ATKT</v>
      </c>
      <c r="AI273" s="1">
        <v>22</v>
      </c>
      <c r="AJ273" s="15">
        <f t="shared" si="320"/>
        <v>14</v>
      </c>
      <c r="AK273" s="16">
        <f t="shared" si="320"/>
        <v>68</v>
      </c>
      <c r="AL273" s="7">
        <f t="shared" si="320"/>
        <v>0</v>
      </c>
      <c r="AR273" s="7" t="str">
        <f t="shared" si="309"/>
        <v>F</v>
      </c>
      <c r="AS273" s="8">
        <f t="shared" si="310"/>
        <v>4</v>
      </c>
      <c r="AT273" s="8">
        <f t="shared" si="311"/>
        <v>8</v>
      </c>
      <c r="AU273" s="13">
        <f>IF(OR(UPPER(TRIM(AC273))="AB", AC273=901, AC273="901"), 0, IF(ISNUMBER(MATCH(UPPER(TRIM(AC273)), {"A+","A","B+","B","C","D","P"}, 0)), 2, 0))</f>
        <v>2</v>
      </c>
      <c r="AV273" s="13">
        <f t="shared" si="312"/>
        <v>24</v>
      </c>
      <c r="AW273">
        <f t="shared" si="313"/>
        <v>24</v>
      </c>
      <c r="AX273" s="1">
        <f t="shared" si="314"/>
        <v>48</v>
      </c>
      <c r="AY273" s="13">
        <f t="shared" si="318"/>
        <v>216</v>
      </c>
    </row>
    <row r="274" spans="1:51">
      <c r="A274" s="7">
        <v>5249806</v>
      </c>
      <c r="B274" s="7"/>
      <c r="C274" s="33" t="s">
        <v>86</v>
      </c>
      <c r="D274" s="1" t="s">
        <v>47</v>
      </c>
      <c r="E274" s="3">
        <v>1</v>
      </c>
      <c r="F274" s="1" t="s">
        <v>48</v>
      </c>
      <c r="G274" s="1">
        <v>2521615</v>
      </c>
      <c r="H274" s="4" t="s">
        <v>58</v>
      </c>
      <c r="I274" s="5" t="s">
        <v>50</v>
      </c>
      <c r="J274" s="1">
        <v>10</v>
      </c>
      <c r="K274" s="13" t="str">
        <f t="shared" si="315"/>
        <v>P</v>
      </c>
      <c r="L274" s="1">
        <v>12</v>
      </c>
      <c r="M274" s="13" t="str">
        <f t="shared" si="316"/>
        <v>P</v>
      </c>
      <c r="AB274" s="7" t="str">
        <f t="shared" si="307"/>
        <v>22</v>
      </c>
      <c r="AC274" s="13" t="str">
        <f t="shared" si="308"/>
        <v>D</v>
      </c>
      <c r="AD274" s="13" t="str">
        <f t="shared" si="319"/>
        <v>216</v>
      </c>
      <c r="AE274" s="1">
        <v>550</v>
      </c>
      <c r="AF274" s="15">
        <f t="shared" si="317"/>
        <v>39.272727272727273</v>
      </c>
      <c r="AG274" s="13" t="str">
        <f t="shared" si="317"/>
        <v>ATKT</v>
      </c>
      <c r="AI274" s="1">
        <v>22</v>
      </c>
      <c r="AJ274" s="15">
        <f t="shared" si="320"/>
        <v>14</v>
      </c>
      <c r="AK274" s="16">
        <f t="shared" si="320"/>
        <v>68</v>
      </c>
      <c r="AL274" s="7">
        <f t="shared" si="320"/>
        <v>0</v>
      </c>
      <c r="AR274" s="7" t="str">
        <f t="shared" si="309"/>
        <v>F</v>
      </c>
      <c r="AS274" s="8">
        <f t="shared" si="310"/>
        <v>4</v>
      </c>
      <c r="AT274" s="8">
        <f t="shared" si="311"/>
        <v>8</v>
      </c>
      <c r="AU274" s="13">
        <f>IF(OR(UPPER(TRIM(AC274))="AB", AC274=901, AC274="901"), 0, IF(ISNUMBER(MATCH(UPPER(TRIM(AC274)), {"A+","A","B+","B","C","D","P"}, 0)), 2, 0))</f>
        <v>2</v>
      </c>
      <c r="AV274" s="13">
        <f t="shared" si="312"/>
        <v>22</v>
      </c>
      <c r="AW274">
        <f t="shared" si="313"/>
        <v>22</v>
      </c>
      <c r="AX274" s="1">
        <f t="shared" si="314"/>
        <v>44</v>
      </c>
      <c r="AY274" s="13">
        <f t="shared" si="318"/>
        <v>216</v>
      </c>
    </row>
    <row r="275" spans="1:51">
      <c r="A275" s="7">
        <v>5249806</v>
      </c>
      <c r="B275" s="7"/>
      <c r="C275" s="33" t="s">
        <v>86</v>
      </c>
      <c r="D275" s="1" t="s">
        <v>47</v>
      </c>
      <c r="E275" s="3">
        <v>1</v>
      </c>
      <c r="F275" s="1" t="s">
        <v>48</v>
      </c>
      <c r="G275" s="1">
        <v>2531511</v>
      </c>
      <c r="H275" s="2" t="s">
        <v>59</v>
      </c>
      <c r="I275" s="5" t="s">
        <v>50</v>
      </c>
      <c r="J275" s="1">
        <v>14</v>
      </c>
      <c r="K275" s="13" t="str">
        <f t="shared" si="315"/>
        <v>P</v>
      </c>
      <c r="L275" s="1">
        <v>12</v>
      </c>
      <c r="M275" s="13" t="str">
        <f t="shared" si="316"/>
        <v>P</v>
      </c>
      <c r="AB275" s="7" t="str">
        <f t="shared" si="307"/>
        <v>26</v>
      </c>
      <c r="AC275" s="13" t="str">
        <f t="shared" si="308"/>
        <v>C</v>
      </c>
      <c r="AD275" s="13" t="str">
        <f t="shared" si="319"/>
        <v>216</v>
      </c>
      <c r="AE275" s="1">
        <v>550</v>
      </c>
      <c r="AF275" s="15">
        <f t="shared" si="317"/>
        <v>39.272727272727273</v>
      </c>
      <c r="AG275" s="13" t="str">
        <f t="shared" si="317"/>
        <v>ATKT</v>
      </c>
      <c r="AI275" s="1">
        <v>22</v>
      </c>
      <c r="AJ275" s="15">
        <f t="shared" si="320"/>
        <v>14</v>
      </c>
      <c r="AK275" s="16">
        <f t="shared" si="320"/>
        <v>68</v>
      </c>
      <c r="AL275" s="7">
        <f t="shared" si="320"/>
        <v>0</v>
      </c>
      <c r="AR275" s="7" t="str">
        <f t="shared" si="309"/>
        <v>F</v>
      </c>
      <c r="AS275" s="8">
        <f t="shared" si="310"/>
        <v>5</v>
      </c>
      <c r="AT275" s="8">
        <f t="shared" si="311"/>
        <v>10</v>
      </c>
      <c r="AU275" s="13">
        <f>IF(OR(UPPER(TRIM(AC275))="AB", AC275=901, AC275="901"), 0, IF(ISNUMBER(MATCH(UPPER(TRIM(AC275)), {"A+","A","B+","B","C","D","P"}, 0)), 2, 0))</f>
        <v>2</v>
      </c>
      <c r="AV275" s="13">
        <f t="shared" si="312"/>
        <v>26</v>
      </c>
      <c r="AW275">
        <f t="shared" si="313"/>
        <v>26</v>
      </c>
      <c r="AX275" s="1">
        <f t="shared" si="314"/>
        <v>52</v>
      </c>
      <c r="AY275" s="13">
        <f t="shared" si="318"/>
        <v>216</v>
      </c>
    </row>
    <row r="276" spans="1:51">
      <c r="A276" s="7">
        <v>5249806</v>
      </c>
      <c r="B276" s="7"/>
      <c r="C276" s="33" t="s">
        <v>86</v>
      </c>
      <c r="D276" s="1" t="s">
        <v>47</v>
      </c>
      <c r="E276" s="3">
        <v>1</v>
      </c>
      <c r="F276" s="1" t="s">
        <v>48</v>
      </c>
      <c r="G276" s="1">
        <v>2541515</v>
      </c>
      <c r="H276" s="2" t="s">
        <v>60</v>
      </c>
      <c r="I276" s="5" t="s">
        <v>50</v>
      </c>
      <c r="J276" s="1">
        <v>13</v>
      </c>
      <c r="K276" s="13" t="str">
        <f t="shared" si="315"/>
        <v>P</v>
      </c>
      <c r="L276" s="6">
        <v>12</v>
      </c>
      <c r="M276" s="13" t="str">
        <f t="shared" si="316"/>
        <v>P</v>
      </c>
      <c r="AB276" s="7" t="str">
        <f t="shared" si="307"/>
        <v>25</v>
      </c>
      <c r="AC276" s="13" t="str">
        <f t="shared" si="308"/>
        <v>C</v>
      </c>
      <c r="AD276" s="13" t="str">
        <f t="shared" si="319"/>
        <v>216</v>
      </c>
      <c r="AE276" s="1">
        <v>550</v>
      </c>
      <c r="AF276" s="15">
        <f t="shared" si="317"/>
        <v>39.272727272727273</v>
      </c>
      <c r="AG276" s="13" t="str">
        <f t="shared" si="317"/>
        <v>ATKT</v>
      </c>
      <c r="AI276" s="1">
        <v>22</v>
      </c>
      <c r="AJ276" s="15">
        <f t="shared" si="320"/>
        <v>14</v>
      </c>
      <c r="AK276" s="16">
        <f t="shared" si="320"/>
        <v>68</v>
      </c>
      <c r="AL276" s="7">
        <f t="shared" si="320"/>
        <v>0</v>
      </c>
      <c r="AR276" s="7" t="str">
        <f t="shared" si="309"/>
        <v>F</v>
      </c>
      <c r="AS276" s="8">
        <f t="shared" si="310"/>
        <v>5</v>
      </c>
      <c r="AT276" s="8">
        <f t="shared" si="311"/>
        <v>10</v>
      </c>
      <c r="AU276" s="13">
        <f>IF(OR(UPPER(TRIM(AC276))="AB", AC276=901, AC276="901"), 0, IF(ISNUMBER(MATCH(UPPER(TRIM(AC276)), {"A+","A","B+","B","C","D","P"}, 0)), 2, 0))</f>
        <v>2</v>
      </c>
      <c r="AV276" s="13">
        <f t="shared" si="312"/>
        <v>25</v>
      </c>
      <c r="AW276">
        <f t="shared" si="313"/>
        <v>25</v>
      </c>
      <c r="AX276" s="1">
        <f t="shared" si="314"/>
        <v>50</v>
      </c>
      <c r="AY276" s="13">
        <f t="shared" si="318"/>
        <v>216</v>
      </c>
    </row>
    <row r="278" spans="1:51">
      <c r="A278" s="7">
        <v>5079407</v>
      </c>
      <c r="B278" s="7"/>
      <c r="C278" s="33" t="s">
        <v>87</v>
      </c>
      <c r="D278" s="1" t="s">
        <v>47</v>
      </c>
      <c r="E278" s="3">
        <v>1</v>
      </c>
      <c r="F278" s="1" t="s">
        <v>48</v>
      </c>
      <c r="G278" s="1">
        <v>1011312</v>
      </c>
      <c r="H278" s="2" t="s">
        <v>49</v>
      </c>
      <c r="I278" s="5" t="s">
        <v>50</v>
      </c>
      <c r="J278" s="6">
        <v>901</v>
      </c>
      <c r="K278" s="13" t="str">
        <f>IF(OR(UPPER(TRIM(J278))="AB",J278=901,J278="901"),"F",IF(J278&gt;=8,"P","F"))</f>
        <v>F</v>
      </c>
      <c r="L278" s="1">
        <v>901</v>
      </c>
      <c r="M278" s="13" t="str">
        <f>IF(OR(UPPER(TRIM(L278))="AB",L278=901,L278="901"),"F",IF(L278&gt;=8,"P","F"))</f>
        <v>F</v>
      </c>
      <c r="N278" s="13"/>
      <c r="O278" s="13"/>
      <c r="P278" s="13"/>
      <c r="Q278" s="13"/>
      <c r="R278" s="13"/>
      <c r="S278" s="13"/>
      <c r="T278" s="13"/>
      <c r="U278" s="13"/>
      <c r="V278" s="13"/>
      <c r="W278" s="13"/>
      <c r="X278" s="13"/>
      <c r="Y278" s="13"/>
      <c r="Z278" s="13"/>
      <c r="AB278" s="7" t="str">
        <f t="shared" ref="AB278:AB288" si="321">AV278 &amp; IF(AA278&lt;&gt;"", " @ " &amp; AA278, "")</f>
        <v>0</v>
      </c>
      <c r="AC278" s="13" t="str">
        <f t="shared" ref="AC278:AC288" si="322">IF(AX278&gt;=90,"O",
IF(AX278&gt;=80,"A+",
IF(AX278&gt;=70,"A",
IF(AX278&gt;=60,"B+",
IF(AX278&gt;=55,"B",
IF(AX278&gt;=50,"C",
IF(AX278&gt;=40,"D","F")))))))</f>
        <v>F</v>
      </c>
      <c r="AD278" s="13" t="str">
        <f>SUM(AV278:AV288) &amp; IF(SUM(AA278:AA288)&gt;0, " @ " &amp; SUM(AA278:AA288), "")</f>
        <v>60</v>
      </c>
      <c r="AE278" s="1">
        <v>550</v>
      </c>
      <c r="AF278" s="15">
        <f>AY278/AE278*100</f>
        <v>10.909090909090908</v>
      </c>
      <c r="AG278" s="13" t="str" cm="1">
        <f t="array" ref="AG278">IF(
  SUMPRODUCT(--(IFERROR(VALUE(J278:J288),9999)&lt;8))
  + SUMPRODUCT(--(IFERROR(VALUE(L278:L288),9999)&lt;12))
  + COUNTIF(J278:J288,"AB") + COUNTIF(L278:L288,"AB")
  + COUNTIF(J278:J288,901) + COUNTIF(L278:L288,901) &gt; 0,
  "ATKT",
  "PASS"
)</f>
        <v>ATKT</v>
      </c>
      <c r="AI278" s="1">
        <v>22</v>
      </c>
      <c r="AJ278" s="15">
        <f>SUM(AU278:AU288)</f>
        <v>0</v>
      </c>
      <c r="AK278" s="16">
        <f>SUM(AT278:AT288)</f>
        <v>0</v>
      </c>
      <c r="AL278" s="7">
        <f>IF(UPPER(TRIM(AG278))="ATKT",0,ROUND( (SUM(AT278:AT288) /22), 2))</f>
        <v>0</v>
      </c>
      <c r="AR278" s="7" t="str">
        <f t="shared" ref="AR278:AR288" si="323">IF(AL278&gt;=9,"O", IF(AL278&gt;=8,"A+", IF(AL278&gt;=7,"A", IF(AL278&gt;=6,"B+", IF(AL278&gt;=5.5,"B", IF(AL278&gt;=5,"C", IF(AL278&gt;=4,"D","F")))))))</f>
        <v>F</v>
      </c>
      <c r="AS278" s="8">
        <f t="shared" ref="AS278:AS288" si="324">IF(AX278&gt;=90,10,
IF(AX278&gt;=80,9,
IF(AX278&gt;=70,8,
IF(AX278&gt;=60,7,
IF(AX278&gt;=55,6,
IF(AX278&gt;=50,5,
IF(AX278&gt;=40,4,0)))))))</f>
        <v>0</v>
      </c>
      <c r="AT278" s="8">
        <f t="shared" ref="AT278:AT288" si="325">AS278*I278</f>
        <v>0</v>
      </c>
      <c r="AU278" s="13">
        <f>IF(OR(UPPER(TRIM(AC278))="AB", AC278=901, AC278="901"), 0, IF(ISNUMBER(MATCH(UPPER(TRIM(AC278)), {"A+","A","B+","B","C","D","P"}, 0)), 2, 0))</f>
        <v>0</v>
      </c>
      <c r="AV278" s="13">
        <f t="shared" ref="AV278:AV288" si="326">SUM(
IF(OR(UPPER(TRIM(J278))="AB",J278=901,J278="901"),0,IFERROR(VALUE(J278),0)),
IF(OR(UPPER(TRIM(L278))="AB",L278=901,L278="901"),0,IFERROR(VALUE(L278),0)),
IF(OR(UPPER(TRIM(N278))="AB",N278=901,N278="901"),0,IFERROR(VALUE(N278),0))
)</f>
        <v>0</v>
      </c>
      <c r="AW278">
        <f t="shared" ref="AW278:AW288" si="327">AA278+AV278</f>
        <v>0</v>
      </c>
      <c r="AX278" s="1">
        <f t="shared" ref="AX278:AX288" si="328">(AW278 / 50) * 100</f>
        <v>0</v>
      </c>
      <c r="AY278" s="13">
        <f>SUM(AW278:AW288)</f>
        <v>60</v>
      </c>
    </row>
    <row r="279" spans="1:51">
      <c r="A279" s="7">
        <v>5079407</v>
      </c>
      <c r="B279" s="7"/>
      <c r="C279" s="33" t="s">
        <v>87</v>
      </c>
      <c r="D279" s="1" t="s">
        <v>47</v>
      </c>
      <c r="E279" s="3">
        <v>1</v>
      </c>
      <c r="F279" s="1" t="s">
        <v>48</v>
      </c>
      <c r="G279" s="1">
        <v>1171312</v>
      </c>
      <c r="H279" s="2" t="s">
        <v>51</v>
      </c>
      <c r="I279" s="5" t="s">
        <v>50</v>
      </c>
      <c r="J279" s="1">
        <v>12</v>
      </c>
      <c r="K279" s="13" t="str">
        <f t="shared" ref="K279:K288" si="329">IF(OR(UPPER(TRIM(J279))="AB",J279=901,J279="901"),"F",IF(J279&gt;=8,"P","F"))</f>
        <v>P</v>
      </c>
      <c r="L279" s="1">
        <v>901</v>
      </c>
      <c r="M279" s="13" t="str">
        <f t="shared" ref="M279:M288" si="330">IF(OR(UPPER(TRIM(L279))="AB",L279=901,L279="901"),"F",IF(L279&gt;=8,"P","F"))</f>
        <v>F</v>
      </c>
      <c r="AB279" s="7" t="str">
        <f t="shared" si="321"/>
        <v>12</v>
      </c>
      <c r="AC279" s="13" t="str">
        <f t="shared" si="322"/>
        <v>F</v>
      </c>
      <c r="AD279" s="13" t="str">
        <f>AD278</f>
        <v>60</v>
      </c>
      <c r="AE279" s="1">
        <v>550</v>
      </c>
      <c r="AF279" s="15">
        <f t="shared" ref="AF279:AG288" si="331">AF278</f>
        <v>10.909090909090908</v>
      </c>
      <c r="AG279" s="13" t="str">
        <f t="shared" si="331"/>
        <v>ATKT</v>
      </c>
      <c r="AI279" s="1">
        <v>22</v>
      </c>
      <c r="AJ279" s="15">
        <f>AJ278</f>
        <v>0</v>
      </c>
      <c r="AK279" s="16">
        <f>AK278</f>
        <v>0</v>
      </c>
      <c r="AL279" s="7">
        <f>AL278</f>
        <v>0</v>
      </c>
      <c r="AR279" s="7" t="str">
        <f t="shared" si="323"/>
        <v>F</v>
      </c>
      <c r="AS279" s="8">
        <f t="shared" si="324"/>
        <v>0</v>
      </c>
      <c r="AT279" s="8">
        <f t="shared" si="325"/>
        <v>0</v>
      </c>
      <c r="AU279" s="13">
        <f>IF(OR(UPPER(TRIM(AC279))="AB", AC279=901, AC279="901"), 0, IF(ISNUMBER(MATCH(UPPER(TRIM(AC279)), {"A+","A","B+","B","C","D","P"}, 0)), 2, 0))</f>
        <v>0</v>
      </c>
      <c r="AV279" s="13">
        <f t="shared" si="326"/>
        <v>12</v>
      </c>
      <c r="AW279">
        <f t="shared" si="327"/>
        <v>12</v>
      </c>
      <c r="AX279" s="1">
        <f t="shared" si="328"/>
        <v>24</v>
      </c>
      <c r="AY279" s="13">
        <f t="shared" ref="AY279:AY288" si="332">AY278</f>
        <v>60</v>
      </c>
    </row>
    <row r="280" spans="1:51">
      <c r="A280" s="7">
        <v>5079407</v>
      </c>
      <c r="B280" s="7"/>
      <c r="C280" s="33" t="s">
        <v>87</v>
      </c>
      <c r="D280" s="1" t="s">
        <v>47</v>
      </c>
      <c r="E280" s="3">
        <v>1</v>
      </c>
      <c r="F280" s="1" t="s">
        <v>48</v>
      </c>
      <c r="G280" s="1">
        <v>1461111</v>
      </c>
      <c r="H280" s="2" t="s">
        <v>52</v>
      </c>
      <c r="I280" s="5" t="s">
        <v>50</v>
      </c>
      <c r="J280" s="1">
        <v>12</v>
      </c>
      <c r="K280" s="13" t="str">
        <f t="shared" si="329"/>
        <v>P</v>
      </c>
      <c r="L280" s="1">
        <v>901</v>
      </c>
      <c r="M280" s="13" t="str">
        <f t="shared" si="330"/>
        <v>F</v>
      </c>
      <c r="AB280" s="7" t="str">
        <f t="shared" si="321"/>
        <v>12</v>
      </c>
      <c r="AC280" s="13" t="str">
        <f t="shared" si="322"/>
        <v>F</v>
      </c>
      <c r="AD280" s="13" t="str">
        <f t="shared" ref="AD280:AD288" si="333">AD279</f>
        <v>60</v>
      </c>
      <c r="AE280" s="1">
        <v>550</v>
      </c>
      <c r="AF280" s="15">
        <f t="shared" si="331"/>
        <v>10.909090909090908</v>
      </c>
      <c r="AG280" s="13" t="str">
        <f t="shared" si="331"/>
        <v>ATKT</v>
      </c>
      <c r="AI280" s="1">
        <v>22</v>
      </c>
      <c r="AJ280" s="15">
        <f t="shared" ref="AJ280:AL288" si="334">AJ279</f>
        <v>0</v>
      </c>
      <c r="AK280" s="16">
        <f t="shared" si="334"/>
        <v>0</v>
      </c>
      <c r="AL280" s="7">
        <f t="shared" si="334"/>
        <v>0</v>
      </c>
      <c r="AR280" s="7" t="str">
        <f t="shared" si="323"/>
        <v>F</v>
      </c>
      <c r="AS280" s="8">
        <f t="shared" si="324"/>
        <v>0</v>
      </c>
      <c r="AT280" s="8">
        <f t="shared" si="325"/>
        <v>0</v>
      </c>
      <c r="AU280" s="13">
        <f>IF(OR(UPPER(TRIM(AC280))="AB", AC280=901, AC280="901"), 0, IF(ISNUMBER(MATCH(UPPER(TRIM(AC280)), {"A+","A","B+","B","C","D","P"}, 0)), 2, 0))</f>
        <v>0</v>
      </c>
      <c r="AV280" s="13">
        <f t="shared" si="326"/>
        <v>12</v>
      </c>
      <c r="AW280">
        <f t="shared" si="327"/>
        <v>12</v>
      </c>
      <c r="AX280" s="1">
        <f t="shared" si="328"/>
        <v>24</v>
      </c>
      <c r="AY280" s="13">
        <f t="shared" si="332"/>
        <v>60</v>
      </c>
    </row>
    <row r="281" spans="1:51">
      <c r="A281" s="7">
        <v>5079407</v>
      </c>
      <c r="B281" s="7"/>
      <c r="C281" s="33" t="s">
        <v>87</v>
      </c>
      <c r="D281" s="1" t="s">
        <v>47</v>
      </c>
      <c r="E281" s="3">
        <v>1</v>
      </c>
      <c r="F281" s="1" t="s">
        <v>48</v>
      </c>
      <c r="G281" s="1">
        <v>1461112</v>
      </c>
      <c r="H281" s="2" t="s">
        <v>53</v>
      </c>
      <c r="I281" s="5" t="s">
        <v>50</v>
      </c>
      <c r="J281" s="1">
        <v>12</v>
      </c>
      <c r="K281" s="13" t="str">
        <f t="shared" si="329"/>
        <v>P</v>
      </c>
      <c r="L281" s="1">
        <v>901</v>
      </c>
      <c r="M281" s="13" t="str">
        <f t="shared" si="330"/>
        <v>F</v>
      </c>
      <c r="AB281" s="7" t="str">
        <f t="shared" si="321"/>
        <v>12</v>
      </c>
      <c r="AC281" s="13" t="str">
        <f t="shared" si="322"/>
        <v>F</v>
      </c>
      <c r="AD281" s="13" t="str">
        <f t="shared" si="333"/>
        <v>60</v>
      </c>
      <c r="AE281" s="1">
        <v>550</v>
      </c>
      <c r="AF281" s="15">
        <f t="shared" si="331"/>
        <v>10.909090909090908</v>
      </c>
      <c r="AG281" s="13" t="str">
        <f t="shared" si="331"/>
        <v>ATKT</v>
      </c>
      <c r="AI281" s="1">
        <v>22</v>
      </c>
      <c r="AJ281" s="15">
        <f t="shared" si="334"/>
        <v>0</v>
      </c>
      <c r="AK281" s="16">
        <f t="shared" si="334"/>
        <v>0</v>
      </c>
      <c r="AL281" s="7">
        <f t="shared" si="334"/>
        <v>0</v>
      </c>
      <c r="AR281" s="7" t="str">
        <f t="shared" si="323"/>
        <v>F</v>
      </c>
      <c r="AS281" s="8">
        <f t="shared" si="324"/>
        <v>0</v>
      </c>
      <c r="AT281" s="8">
        <f t="shared" si="325"/>
        <v>0</v>
      </c>
      <c r="AU281" s="13">
        <f>IF(OR(UPPER(TRIM(AC281))="AB", AC281=901, AC281="901"), 0, IF(ISNUMBER(MATCH(UPPER(TRIM(AC281)), {"A+","A","B+","B","C","D","P"}, 0)), 2, 0))</f>
        <v>0</v>
      </c>
      <c r="AV281" s="13">
        <f t="shared" si="326"/>
        <v>12</v>
      </c>
      <c r="AW281">
        <f t="shared" si="327"/>
        <v>12</v>
      </c>
      <c r="AX281" s="1">
        <f t="shared" si="328"/>
        <v>24</v>
      </c>
      <c r="AY281" s="13">
        <f t="shared" si="332"/>
        <v>60</v>
      </c>
    </row>
    <row r="282" spans="1:51">
      <c r="A282" s="7">
        <v>5079407</v>
      </c>
      <c r="B282" s="7"/>
      <c r="C282" s="33" t="s">
        <v>87</v>
      </c>
      <c r="D282" s="1" t="s">
        <v>47</v>
      </c>
      <c r="E282" s="3">
        <v>1</v>
      </c>
      <c r="F282" s="1" t="s">
        <v>48</v>
      </c>
      <c r="G282" s="1">
        <v>1461113</v>
      </c>
      <c r="H282" s="2" t="s">
        <v>54</v>
      </c>
      <c r="I282" s="5" t="s">
        <v>50</v>
      </c>
      <c r="J282" s="1">
        <v>901</v>
      </c>
      <c r="K282" s="13" t="str">
        <f t="shared" si="329"/>
        <v>F</v>
      </c>
      <c r="L282" s="1">
        <v>901</v>
      </c>
      <c r="M282" s="13" t="str">
        <f t="shared" si="330"/>
        <v>F</v>
      </c>
      <c r="AB282" s="7" t="str">
        <f t="shared" si="321"/>
        <v>0</v>
      </c>
      <c r="AC282" s="13" t="str">
        <f t="shared" si="322"/>
        <v>F</v>
      </c>
      <c r="AD282" s="13" t="str">
        <f t="shared" si="333"/>
        <v>60</v>
      </c>
      <c r="AE282" s="1">
        <v>550</v>
      </c>
      <c r="AF282" s="15">
        <f t="shared" si="331"/>
        <v>10.909090909090908</v>
      </c>
      <c r="AG282" s="13" t="str">
        <f t="shared" si="331"/>
        <v>ATKT</v>
      </c>
      <c r="AI282" s="1">
        <v>22</v>
      </c>
      <c r="AJ282" s="15">
        <f t="shared" si="334"/>
        <v>0</v>
      </c>
      <c r="AK282" s="16">
        <f t="shared" si="334"/>
        <v>0</v>
      </c>
      <c r="AL282" s="7">
        <f t="shared" si="334"/>
        <v>0</v>
      </c>
      <c r="AR282" s="7" t="str">
        <f t="shared" si="323"/>
        <v>F</v>
      </c>
      <c r="AS282" s="8">
        <f t="shared" si="324"/>
        <v>0</v>
      </c>
      <c r="AT282" s="8">
        <f t="shared" si="325"/>
        <v>0</v>
      </c>
      <c r="AU282" s="13">
        <f>IF(OR(UPPER(TRIM(AC282))="AB", AC282=901, AC282="901"), 0, IF(ISNUMBER(MATCH(UPPER(TRIM(AC282)), {"A+","A","B+","B","C","D","P"}, 0)), 2, 0))</f>
        <v>0</v>
      </c>
      <c r="AV282" s="13">
        <f t="shared" si="326"/>
        <v>0</v>
      </c>
      <c r="AW282">
        <f t="shared" si="327"/>
        <v>0</v>
      </c>
      <c r="AX282" s="1">
        <f t="shared" si="328"/>
        <v>0</v>
      </c>
      <c r="AY282" s="13">
        <f t="shared" si="332"/>
        <v>60</v>
      </c>
    </row>
    <row r="283" spans="1:51">
      <c r="A283" s="7">
        <v>5079407</v>
      </c>
      <c r="B283" s="7"/>
      <c r="C283" s="33" t="s">
        <v>87</v>
      </c>
      <c r="D283" s="1" t="s">
        <v>47</v>
      </c>
      <c r="E283" s="3">
        <v>1</v>
      </c>
      <c r="F283" s="1" t="s">
        <v>48</v>
      </c>
      <c r="G283" s="1">
        <v>1461411</v>
      </c>
      <c r="H283" s="2" t="s">
        <v>55</v>
      </c>
      <c r="I283" s="5" t="s">
        <v>50</v>
      </c>
      <c r="J283" s="1">
        <v>901</v>
      </c>
      <c r="K283" s="13" t="str">
        <f t="shared" si="329"/>
        <v>F</v>
      </c>
      <c r="L283" s="1">
        <v>901</v>
      </c>
      <c r="M283" s="13" t="str">
        <f t="shared" si="330"/>
        <v>F</v>
      </c>
      <c r="AB283" s="7" t="str">
        <f t="shared" si="321"/>
        <v>0</v>
      </c>
      <c r="AC283" s="13" t="str">
        <f t="shared" si="322"/>
        <v>F</v>
      </c>
      <c r="AD283" s="13" t="str">
        <f t="shared" si="333"/>
        <v>60</v>
      </c>
      <c r="AE283" s="1">
        <v>550</v>
      </c>
      <c r="AF283" s="15">
        <f t="shared" si="331"/>
        <v>10.909090909090908</v>
      </c>
      <c r="AG283" s="13" t="str">
        <f t="shared" si="331"/>
        <v>ATKT</v>
      </c>
      <c r="AI283" s="1">
        <v>22</v>
      </c>
      <c r="AJ283" s="15">
        <f t="shared" si="334"/>
        <v>0</v>
      </c>
      <c r="AK283" s="16">
        <f t="shared" si="334"/>
        <v>0</v>
      </c>
      <c r="AL283" s="7">
        <f t="shared" si="334"/>
        <v>0</v>
      </c>
      <c r="AR283" s="7" t="str">
        <f t="shared" si="323"/>
        <v>F</v>
      </c>
      <c r="AS283" s="8">
        <f t="shared" si="324"/>
        <v>0</v>
      </c>
      <c r="AT283" s="8">
        <f t="shared" si="325"/>
        <v>0</v>
      </c>
      <c r="AU283" s="13">
        <f>IF(OR(UPPER(TRIM(AC283))="AB", AC283=901, AC283="901"), 0, IF(ISNUMBER(MATCH(UPPER(TRIM(AC283)), {"A+","A","B+","B","C","D","P"}, 0)), 2, 0))</f>
        <v>0</v>
      </c>
      <c r="AV283" s="13">
        <f t="shared" si="326"/>
        <v>0</v>
      </c>
      <c r="AW283">
        <f t="shared" si="327"/>
        <v>0</v>
      </c>
      <c r="AX283" s="1">
        <f t="shared" si="328"/>
        <v>0</v>
      </c>
      <c r="AY283" s="13">
        <f t="shared" si="332"/>
        <v>60</v>
      </c>
    </row>
    <row r="284" spans="1:51">
      <c r="A284" s="7">
        <v>5079407</v>
      </c>
      <c r="B284" s="7"/>
      <c r="C284" s="33" t="s">
        <v>87</v>
      </c>
      <c r="D284" s="1" t="s">
        <v>47</v>
      </c>
      <c r="E284" s="3">
        <v>1</v>
      </c>
      <c r="F284" s="1" t="s">
        <v>48</v>
      </c>
      <c r="G284" s="1">
        <v>1461412</v>
      </c>
      <c r="H284" s="2" t="s">
        <v>56</v>
      </c>
      <c r="I284" s="5" t="s">
        <v>50</v>
      </c>
      <c r="J284" s="1">
        <v>12</v>
      </c>
      <c r="K284" s="13" t="str">
        <f t="shared" si="329"/>
        <v>P</v>
      </c>
      <c r="L284" s="1">
        <v>901</v>
      </c>
      <c r="M284" s="13" t="str">
        <f t="shared" si="330"/>
        <v>F</v>
      </c>
      <c r="AB284" s="7" t="str">
        <f t="shared" si="321"/>
        <v>12</v>
      </c>
      <c r="AC284" s="13" t="str">
        <f t="shared" si="322"/>
        <v>F</v>
      </c>
      <c r="AD284" s="13" t="str">
        <f t="shared" si="333"/>
        <v>60</v>
      </c>
      <c r="AE284" s="1">
        <v>550</v>
      </c>
      <c r="AF284" s="15">
        <f t="shared" si="331"/>
        <v>10.909090909090908</v>
      </c>
      <c r="AG284" s="13" t="str">
        <f t="shared" si="331"/>
        <v>ATKT</v>
      </c>
      <c r="AI284" s="1">
        <v>22</v>
      </c>
      <c r="AJ284" s="15">
        <f t="shared" si="334"/>
        <v>0</v>
      </c>
      <c r="AK284" s="16">
        <f t="shared" si="334"/>
        <v>0</v>
      </c>
      <c r="AL284" s="7">
        <f t="shared" si="334"/>
        <v>0</v>
      </c>
      <c r="AR284" s="7" t="str">
        <f t="shared" si="323"/>
        <v>F</v>
      </c>
      <c r="AS284" s="8">
        <f t="shared" si="324"/>
        <v>0</v>
      </c>
      <c r="AT284" s="8">
        <f t="shared" si="325"/>
        <v>0</v>
      </c>
      <c r="AU284" s="13">
        <f>IF(OR(UPPER(TRIM(AC284))="AB", AC284=901, AC284="901"), 0, IF(ISNUMBER(MATCH(UPPER(TRIM(AC284)), {"A+","A","B+","B","C","D","P"}, 0)), 2, 0))</f>
        <v>0</v>
      </c>
      <c r="AV284" s="13">
        <f t="shared" si="326"/>
        <v>12</v>
      </c>
      <c r="AW284">
        <f t="shared" si="327"/>
        <v>12</v>
      </c>
      <c r="AX284" s="1">
        <f t="shared" si="328"/>
        <v>24</v>
      </c>
      <c r="AY284" s="13">
        <f t="shared" si="332"/>
        <v>60</v>
      </c>
    </row>
    <row r="285" spans="1:51">
      <c r="A285" s="7">
        <v>5079407</v>
      </c>
      <c r="B285" s="7"/>
      <c r="C285" s="33" t="s">
        <v>87</v>
      </c>
      <c r="D285" s="1" t="s">
        <v>47</v>
      </c>
      <c r="E285" s="3">
        <v>1</v>
      </c>
      <c r="F285" s="1" t="s">
        <v>48</v>
      </c>
      <c r="G285" s="1">
        <v>2511515</v>
      </c>
      <c r="H285" s="2" t="s">
        <v>57</v>
      </c>
      <c r="I285" s="5" t="s">
        <v>50</v>
      </c>
      <c r="J285" s="1">
        <v>12</v>
      </c>
      <c r="K285" s="13" t="str">
        <f t="shared" si="329"/>
        <v>P</v>
      </c>
      <c r="L285" s="1">
        <v>901</v>
      </c>
      <c r="M285" s="13" t="str">
        <f t="shared" si="330"/>
        <v>F</v>
      </c>
      <c r="AB285" s="7" t="str">
        <f t="shared" si="321"/>
        <v>12</v>
      </c>
      <c r="AC285" s="13" t="str">
        <f t="shared" si="322"/>
        <v>F</v>
      </c>
      <c r="AD285" s="13" t="str">
        <f t="shared" si="333"/>
        <v>60</v>
      </c>
      <c r="AE285" s="1">
        <v>550</v>
      </c>
      <c r="AF285" s="15">
        <f t="shared" si="331"/>
        <v>10.909090909090908</v>
      </c>
      <c r="AG285" s="13" t="str">
        <f t="shared" si="331"/>
        <v>ATKT</v>
      </c>
      <c r="AI285" s="1">
        <v>22</v>
      </c>
      <c r="AJ285" s="15">
        <f t="shared" si="334"/>
        <v>0</v>
      </c>
      <c r="AK285" s="16">
        <f t="shared" si="334"/>
        <v>0</v>
      </c>
      <c r="AL285" s="7">
        <f t="shared" si="334"/>
        <v>0</v>
      </c>
      <c r="AR285" s="7" t="str">
        <f t="shared" si="323"/>
        <v>F</v>
      </c>
      <c r="AS285" s="8">
        <f t="shared" si="324"/>
        <v>0</v>
      </c>
      <c r="AT285" s="8">
        <f t="shared" si="325"/>
        <v>0</v>
      </c>
      <c r="AU285" s="13">
        <f>IF(OR(UPPER(TRIM(AC285))="AB", AC285=901, AC285="901"), 0, IF(ISNUMBER(MATCH(UPPER(TRIM(AC285)), {"A+","A","B+","B","C","D","P"}, 0)), 2, 0))</f>
        <v>0</v>
      </c>
      <c r="AV285" s="13">
        <f t="shared" si="326"/>
        <v>12</v>
      </c>
      <c r="AW285">
        <f t="shared" si="327"/>
        <v>12</v>
      </c>
      <c r="AX285" s="1">
        <f t="shared" si="328"/>
        <v>24</v>
      </c>
      <c r="AY285" s="13">
        <f t="shared" si="332"/>
        <v>60</v>
      </c>
    </row>
    <row r="286" spans="1:51">
      <c r="A286" s="7">
        <v>5079407</v>
      </c>
      <c r="B286" s="7"/>
      <c r="C286" s="33" t="s">
        <v>87</v>
      </c>
      <c r="D286" s="1" t="s">
        <v>47</v>
      </c>
      <c r="E286" s="3">
        <v>1</v>
      </c>
      <c r="F286" s="1" t="s">
        <v>48</v>
      </c>
      <c r="G286" s="1">
        <v>2521615</v>
      </c>
      <c r="H286" s="4" t="s">
        <v>58</v>
      </c>
      <c r="I286" s="5" t="s">
        <v>50</v>
      </c>
      <c r="J286" s="1">
        <v>901</v>
      </c>
      <c r="K286" s="13" t="str">
        <f t="shared" si="329"/>
        <v>F</v>
      </c>
      <c r="L286" s="1">
        <v>901</v>
      </c>
      <c r="M286" s="13" t="str">
        <f t="shared" si="330"/>
        <v>F</v>
      </c>
      <c r="AB286" s="7" t="str">
        <f t="shared" si="321"/>
        <v>0</v>
      </c>
      <c r="AC286" s="13" t="str">
        <f t="shared" si="322"/>
        <v>F</v>
      </c>
      <c r="AD286" s="13" t="str">
        <f t="shared" si="333"/>
        <v>60</v>
      </c>
      <c r="AE286" s="1">
        <v>550</v>
      </c>
      <c r="AF286" s="15">
        <f t="shared" si="331"/>
        <v>10.909090909090908</v>
      </c>
      <c r="AG286" s="13" t="str">
        <f t="shared" si="331"/>
        <v>ATKT</v>
      </c>
      <c r="AI286" s="1">
        <v>22</v>
      </c>
      <c r="AJ286" s="15">
        <f t="shared" si="334"/>
        <v>0</v>
      </c>
      <c r="AK286" s="16">
        <f t="shared" si="334"/>
        <v>0</v>
      </c>
      <c r="AL286" s="7">
        <f t="shared" si="334"/>
        <v>0</v>
      </c>
      <c r="AR286" s="7" t="str">
        <f t="shared" si="323"/>
        <v>F</v>
      </c>
      <c r="AS286" s="8">
        <f t="shared" si="324"/>
        <v>0</v>
      </c>
      <c r="AT286" s="8">
        <f t="shared" si="325"/>
        <v>0</v>
      </c>
      <c r="AU286" s="13">
        <f>IF(OR(UPPER(TRIM(AC286))="AB", AC286=901, AC286="901"), 0, IF(ISNUMBER(MATCH(UPPER(TRIM(AC286)), {"A+","A","B+","B","C","D","P"}, 0)), 2, 0))</f>
        <v>0</v>
      </c>
      <c r="AV286" s="13">
        <f t="shared" si="326"/>
        <v>0</v>
      </c>
      <c r="AW286">
        <f t="shared" si="327"/>
        <v>0</v>
      </c>
      <c r="AX286" s="1">
        <f t="shared" si="328"/>
        <v>0</v>
      </c>
      <c r="AY286" s="13">
        <f t="shared" si="332"/>
        <v>60</v>
      </c>
    </row>
    <row r="287" spans="1:51">
      <c r="A287" s="7">
        <v>5079407</v>
      </c>
      <c r="B287" s="7"/>
      <c r="C287" s="33" t="s">
        <v>87</v>
      </c>
      <c r="D287" s="1" t="s">
        <v>47</v>
      </c>
      <c r="E287" s="3">
        <v>1</v>
      </c>
      <c r="F287" s="1" t="s">
        <v>48</v>
      </c>
      <c r="G287" s="1">
        <v>2531511</v>
      </c>
      <c r="H287" s="2" t="s">
        <v>59</v>
      </c>
      <c r="I287" s="5" t="s">
        <v>50</v>
      </c>
      <c r="J287" s="1">
        <v>901</v>
      </c>
      <c r="K287" s="13" t="str">
        <f t="shared" si="329"/>
        <v>F</v>
      </c>
      <c r="L287" s="1">
        <v>901</v>
      </c>
      <c r="M287" s="13" t="str">
        <f t="shared" si="330"/>
        <v>F</v>
      </c>
      <c r="AB287" s="7" t="str">
        <f t="shared" si="321"/>
        <v>0</v>
      </c>
      <c r="AC287" s="13" t="str">
        <f t="shared" si="322"/>
        <v>F</v>
      </c>
      <c r="AD287" s="13" t="str">
        <f t="shared" si="333"/>
        <v>60</v>
      </c>
      <c r="AE287" s="1">
        <v>550</v>
      </c>
      <c r="AF287" s="15">
        <f t="shared" si="331"/>
        <v>10.909090909090908</v>
      </c>
      <c r="AG287" s="13" t="str">
        <f t="shared" si="331"/>
        <v>ATKT</v>
      </c>
      <c r="AI287" s="1">
        <v>22</v>
      </c>
      <c r="AJ287" s="15">
        <f t="shared" si="334"/>
        <v>0</v>
      </c>
      <c r="AK287" s="16">
        <f t="shared" si="334"/>
        <v>0</v>
      </c>
      <c r="AL287" s="7">
        <f t="shared" si="334"/>
        <v>0</v>
      </c>
      <c r="AR287" s="7" t="str">
        <f t="shared" si="323"/>
        <v>F</v>
      </c>
      <c r="AS287" s="8">
        <f t="shared" si="324"/>
        <v>0</v>
      </c>
      <c r="AT287" s="8">
        <f t="shared" si="325"/>
        <v>0</v>
      </c>
      <c r="AU287" s="13">
        <f>IF(OR(UPPER(TRIM(AC287))="AB", AC287=901, AC287="901"), 0, IF(ISNUMBER(MATCH(UPPER(TRIM(AC287)), {"A+","A","B+","B","C","D","P"}, 0)), 2, 0))</f>
        <v>0</v>
      </c>
      <c r="AV287" s="13">
        <f t="shared" si="326"/>
        <v>0</v>
      </c>
      <c r="AW287">
        <f t="shared" si="327"/>
        <v>0</v>
      </c>
      <c r="AX287" s="1">
        <f t="shared" si="328"/>
        <v>0</v>
      </c>
      <c r="AY287" s="13">
        <f t="shared" si="332"/>
        <v>60</v>
      </c>
    </row>
    <row r="288" spans="1:51">
      <c r="A288" s="7">
        <v>5079407</v>
      </c>
      <c r="B288" s="7"/>
      <c r="C288" s="33" t="s">
        <v>87</v>
      </c>
      <c r="D288" s="1" t="s">
        <v>47</v>
      </c>
      <c r="E288" s="3">
        <v>1</v>
      </c>
      <c r="F288" s="1" t="s">
        <v>48</v>
      </c>
      <c r="G288" s="1">
        <v>2541515</v>
      </c>
      <c r="H288" s="2" t="s">
        <v>60</v>
      </c>
      <c r="I288" s="5" t="s">
        <v>50</v>
      </c>
      <c r="J288" s="1">
        <v>901</v>
      </c>
      <c r="K288" s="13" t="str">
        <f t="shared" si="329"/>
        <v>F</v>
      </c>
      <c r="L288" s="1">
        <v>901</v>
      </c>
      <c r="M288" s="13" t="str">
        <f t="shared" si="330"/>
        <v>F</v>
      </c>
      <c r="AB288" s="7" t="str">
        <f t="shared" si="321"/>
        <v>0</v>
      </c>
      <c r="AC288" s="13" t="str">
        <f t="shared" si="322"/>
        <v>F</v>
      </c>
      <c r="AD288" s="13" t="str">
        <f t="shared" si="333"/>
        <v>60</v>
      </c>
      <c r="AE288" s="1">
        <v>550</v>
      </c>
      <c r="AF288" s="15">
        <f t="shared" si="331"/>
        <v>10.909090909090908</v>
      </c>
      <c r="AG288" s="13" t="str">
        <f t="shared" si="331"/>
        <v>ATKT</v>
      </c>
      <c r="AI288" s="1">
        <v>22</v>
      </c>
      <c r="AJ288" s="15">
        <f t="shared" si="334"/>
        <v>0</v>
      </c>
      <c r="AK288" s="16">
        <f t="shared" si="334"/>
        <v>0</v>
      </c>
      <c r="AL288" s="7">
        <f t="shared" si="334"/>
        <v>0</v>
      </c>
      <c r="AR288" s="7" t="str">
        <f t="shared" si="323"/>
        <v>F</v>
      </c>
      <c r="AS288" s="8">
        <f t="shared" si="324"/>
        <v>0</v>
      </c>
      <c r="AT288" s="8">
        <f t="shared" si="325"/>
        <v>0</v>
      </c>
      <c r="AU288" s="13">
        <f>IF(OR(UPPER(TRIM(AC288))="AB", AC288=901, AC288="901"), 0, IF(ISNUMBER(MATCH(UPPER(TRIM(AC288)), {"A+","A","B+","B","C","D","P"}, 0)), 2, 0))</f>
        <v>0</v>
      </c>
      <c r="AV288" s="13">
        <f t="shared" si="326"/>
        <v>0</v>
      </c>
      <c r="AW288">
        <f t="shared" si="327"/>
        <v>0</v>
      </c>
      <c r="AX288" s="1">
        <f t="shared" si="328"/>
        <v>0</v>
      </c>
      <c r="AY288" s="13">
        <f t="shared" si="332"/>
        <v>60</v>
      </c>
    </row>
    <row r="290" spans="1:51">
      <c r="A290" s="7">
        <v>5375760</v>
      </c>
      <c r="B290" s="7"/>
      <c r="C290" s="33" t="s">
        <v>88</v>
      </c>
      <c r="D290" s="1" t="s">
        <v>47</v>
      </c>
      <c r="E290" s="3">
        <v>1</v>
      </c>
      <c r="F290" s="1" t="s">
        <v>48</v>
      </c>
      <c r="G290" s="1">
        <v>1011312</v>
      </c>
      <c r="H290" s="2" t="s">
        <v>49</v>
      </c>
      <c r="I290" s="5" t="s">
        <v>50</v>
      </c>
      <c r="J290" s="6">
        <v>16</v>
      </c>
      <c r="K290" s="13" t="str">
        <f>IF(OR(UPPER(TRIM(J290))="AB",J290=901,J290="901"),"F",IF(J290&gt;=8,"P","F"))</f>
        <v>P</v>
      </c>
      <c r="L290" s="1">
        <v>19</v>
      </c>
      <c r="M290" s="13" t="str">
        <f>IF(OR(UPPER(TRIM(L290))="AB",L290=901,L290="901"),"F",IF(L290&gt;=8,"P","F"))</f>
        <v>P</v>
      </c>
      <c r="N290" s="13"/>
      <c r="O290" s="13"/>
      <c r="P290" s="13"/>
      <c r="Q290" s="13"/>
      <c r="R290" s="13"/>
      <c r="S290" s="13"/>
      <c r="T290" s="13"/>
      <c r="U290" s="13"/>
      <c r="V290" s="13"/>
      <c r="W290" s="13"/>
      <c r="X290" s="13"/>
      <c r="Y290" s="13"/>
      <c r="Z290" s="13"/>
      <c r="AB290" s="7" t="str">
        <f t="shared" ref="AB290:AB300" si="335">AV290 &amp; IF(AA290&lt;&gt;"", " @ " &amp; AA290, "")</f>
        <v>35</v>
      </c>
      <c r="AC290" s="13" t="str">
        <f t="shared" ref="AC290:AC300" si="336">IF(AX290&gt;=90,"O",
IF(AX290&gt;=80,"A+",
IF(AX290&gt;=70,"A",
IF(AX290&gt;=60,"B+",
IF(AX290&gt;=55,"B",
IF(AX290&gt;=50,"C",
IF(AX290&gt;=40,"D","F")))))))</f>
        <v>A</v>
      </c>
      <c r="AD290" s="13" t="str">
        <f>SUM(AV290:AV300) &amp; IF(SUM(AA290:AA300)&gt;0, " @ " &amp; SUM(AA290:AA300), "")</f>
        <v>324</v>
      </c>
      <c r="AE290" s="1">
        <v>550</v>
      </c>
      <c r="AF290" s="15">
        <f>AY290/AE290*100</f>
        <v>58.909090909090914</v>
      </c>
      <c r="AG290" s="13" t="str" cm="1">
        <f t="array" ref="AG290">IF(
  SUMPRODUCT(--(IFERROR(VALUE(J290:J300),9999)&lt;8))
  + SUMPRODUCT(--(IFERROR(VALUE(L290:L300),9999)&lt;12))
  + COUNTIF(J290:J300,"AB") + COUNTIF(L290:L300,"AB")
  + COUNTIF(J290:J300,901) + COUNTIF(L290:L300,901) &gt; 0,
  "ATKT",
  "PASS"
)</f>
        <v>PASS</v>
      </c>
      <c r="AI290" s="1">
        <v>22</v>
      </c>
      <c r="AJ290" s="15">
        <f>SUM(AU290:AU300)</f>
        <v>22</v>
      </c>
      <c r="AK290" s="16">
        <f>SUM(AT290:AT300)</f>
        <v>136</v>
      </c>
      <c r="AL290" s="7">
        <f>IF(UPPER(TRIM(AG290))="ATKT",0,ROUND( (SUM(AT290:AT300) /22), 2))</f>
        <v>6.18</v>
      </c>
      <c r="AR290" s="7" t="str">
        <f t="shared" ref="AR290:AR300" si="337">IF(AL290&gt;=9,"O", IF(AL290&gt;=8,"A+", IF(AL290&gt;=7,"A", IF(AL290&gt;=6,"B+", IF(AL290&gt;=5.5,"B", IF(AL290&gt;=5,"C", IF(AL290&gt;=4,"D","F")))))))</f>
        <v>B+</v>
      </c>
      <c r="AS290" s="8">
        <f t="shared" ref="AS290:AS300" si="338">IF(AX290&gt;=90,10,
IF(AX290&gt;=80,9,
IF(AX290&gt;=70,8,
IF(AX290&gt;=60,7,
IF(AX290&gt;=55,6,
IF(AX290&gt;=50,5,
IF(AX290&gt;=40,4,0)))))))</f>
        <v>8</v>
      </c>
      <c r="AT290" s="8">
        <f t="shared" ref="AT290:AT300" si="339">AS290*I290</f>
        <v>16</v>
      </c>
      <c r="AU290" s="13">
        <f>IF(OR(UPPER(TRIM(AC290))="AB", AC290=901, AC290="901"), 0, IF(ISNUMBER(MATCH(UPPER(TRIM(AC290)), {"A+","A","B+","B","C","D","P"}, 0)), 2, 0))</f>
        <v>2</v>
      </c>
      <c r="AV290" s="13">
        <f t="shared" ref="AV290:AV300" si="340">SUM(
IF(OR(UPPER(TRIM(J290))="AB",J290=901,J290="901"),0,IFERROR(VALUE(J290),0)),
IF(OR(UPPER(TRIM(L290))="AB",L290=901,L290="901"),0,IFERROR(VALUE(L290),0)),
IF(OR(UPPER(TRIM(N290))="AB",N290=901,N290="901"),0,IFERROR(VALUE(N290),0))
)</f>
        <v>35</v>
      </c>
      <c r="AW290">
        <f t="shared" ref="AW290:AW300" si="341">AA290+AV290</f>
        <v>35</v>
      </c>
      <c r="AX290" s="1">
        <f t="shared" ref="AX290:AX300" si="342">(AW290 / 50) * 100</f>
        <v>70</v>
      </c>
      <c r="AY290" s="13">
        <f>SUM(AW290:AW300)</f>
        <v>324</v>
      </c>
    </row>
    <row r="291" spans="1:51">
      <c r="A291" s="7">
        <v>5375760</v>
      </c>
      <c r="B291" s="7"/>
      <c r="C291" s="33" t="s">
        <v>88</v>
      </c>
      <c r="D291" s="1" t="s">
        <v>47</v>
      </c>
      <c r="E291" s="3">
        <v>1</v>
      </c>
      <c r="F291" s="1" t="s">
        <v>48</v>
      </c>
      <c r="G291" s="1">
        <v>1171312</v>
      </c>
      <c r="H291" s="2" t="s">
        <v>51</v>
      </c>
      <c r="I291" s="5" t="s">
        <v>50</v>
      </c>
      <c r="J291" s="1">
        <v>18</v>
      </c>
      <c r="K291" s="13" t="str">
        <f t="shared" ref="K291:K300" si="343">IF(OR(UPPER(TRIM(J291))="AB",J291=901,J291="901"),"F",IF(J291&gt;=8,"P","F"))</f>
        <v>P</v>
      </c>
      <c r="L291" s="1">
        <v>12</v>
      </c>
      <c r="M291" s="13" t="str">
        <f t="shared" ref="M291:M300" si="344">IF(OR(UPPER(TRIM(L291))="AB",L291=901,L291="901"),"F",IF(L291&gt;=8,"P","F"))</f>
        <v>P</v>
      </c>
      <c r="AB291" s="7" t="str">
        <f t="shared" si="335"/>
        <v>30</v>
      </c>
      <c r="AC291" s="13" t="str">
        <f t="shared" si="336"/>
        <v>B+</v>
      </c>
      <c r="AD291" s="13" t="str">
        <f>AD290</f>
        <v>324</v>
      </c>
      <c r="AE291" s="1">
        <v>550</v>
      </c>
      <c r="AF291" s="15">
        <f t="shared" ref="AF291:AG300" si="345">AF290</f>
        <v>58.909090909090914</v>
      </c>
      <c r="AG291" s="13" t="str">
        <f t="shared" si="345"/>
        <v>PASS</v>
      </c>
      <c r="AI291" s="1">
        <v>22</v>
      </c>
      <c r="AJ291" s="15">
        <f>AJ290</f>
        <v>22</v>
      </c>
      <c r="AK291" s="16">
        <f>AK290</f>
        <v>136</v>
      </c>
      <c r="AL291" s="7">
        <f>AL290</f>
        <v>6.18</v>
      </c>
      <c r="AR291" s="7" t="str">
        <f t="shared" si="337"/>
        <v>B+</v>
      </c>
      <c r="AS291" s="8">
        <f t="shared" si="338"/>
        <v>7</v>
      </c>
      <c r="AT291" s="8">
        <f t="shared" si="339"/>
        <v>14</v>
      </c>
      <c r="AU291" s="13">
        <f>IF(OR(UPPER(TRIM(AC291))="AB", AC291=901, AC291="901"), 0, IF(ISNUMBER(MATCH(UPPER(TRIM(AC291)), {"A+","A","B+","B","C","D","P"}, 0)), 2, 0))</f>
        <v>2</v>
      </c>
      <c r="AV291" s="13">
        <f t="shared" si="340"/>
        <v>30</v>
      </c>
      <c r="AW291">
        <f t="shared" si="341"/>
        <v>30</v>
      </c>
      <c r="AX291" s="1">
        <f t="shared" si="342"/>
        <v>60</v>
      </c>
      <c r="AY291" s="13">
        <f t="shared" ref="AY291:AY300" si="346">AY290</f>
        <v>324</v>
      </c>
    </row>
    <row r="292" spans="1:51">
      <c r="A292" s="7">
        <v>5375760</v>
      </c>
      <c r="B292" s="7"/>
      <c r="C292" s="33" t="s">
        <v>88</v>
      </c>
      <c r="D292" s="1" t="s">
        <v>47</v>
      </c>
      <c r="E292" s="3">
        <v>1</v>
      </c>
      <c r="F292" s="1" t="s">
        <v>48</v>
      </c>
      <c r="G292" s="1">
        <v>1461111</v>
      </c>
      <c r="H292" s="2" t="s">
        <v>52</v>
      </c>
      <c r="I292" s="5" t="s">
        <v>50</v>
      </c>
      <c r="J292" s="1">
        <v>13</v>
      </c>
      <c r="K292" s="13" t="str">
        <f t="shared" si="343"/>
        <v>P</v>
      </c>
      <c r="L292" s="1">
        <v>13</v>
      </c>
      <c r="M292" s="13" t="str">
        <f t="shared" si="344"/>
        <v>P</v>
      </c>
      <c r="AB292" s="7" t="str">
        <f t="shared" si="335"/>
        <v>26</v>
      </c>
      <c r="AC292" s="13" t="str">
        <f t="shared" si="336"/>
        <v>C</v>
      </c>
      <c r="AD292" s="13" t="str">
        <f t="shared" ref="AD292:AD300" si="347">AD291</f>
        <v>324</v>
      </c>
      <c r="AE292" s="1">
        <v>550</v>
      </c>
      <c r="AF292" s="15">
        <f t="shared" si="345"/>
        <v>58.909090909090914</v>
      </c>
      <c r="AG292" s="13" t="str">
        <f t="shared" si="345"/>
        <v>PASS</v>
      </c>
      <c r="AI292" s="1">
        <v>22</v>
      </c>
      <c r="AJ292" s="15">
        <f t="shared" ref="AJ292:AL300" si="348">AJ291</f>
        <v>22</v>
      </c>
      <c r="AK292" s="16">
        <f t="shared" si="348"/>
        <v>136</v>
      </c>
      <c r="AL292" s="7">
        <f t="shared" si="348"/>
        <v>6.18</v>
      </c>
      <c r="AR292" s="7" t="str">
        <f t="shared" si="337"/>
        <v>B+</v>
      </c>
      <c r="AS292" s="8">
        <f t="shared" si="338"/>
        <v>5</v>
      </c>
      <c r="AT292" s="8">
        <f t="shared" si="339"/>
        <v>10</v>
      </c>
      <c r="AU292" s="13">
        <f>IF(OR(UPPER(TRIM(AC292))="AB", AC292=901, AC292="901"), 0, IF(ISNUMBER(MATCH(UPPER(TRIM(AC292)), {"A+","A","B+","B","C","D","P"}, 0)), 2, 0))</f>
        <v>2</v>
      </c>
      <c r="AV292" s="13">
        <f t="shared" si="340"/>
        <v>26</v>
      </c>
      <c r="AW292">
        <f t="shared" si="341"/>
        <v>26</v>
      </c>
      <c r="AX292" s="1">
        <f t="shared" si="342"/>
        <v>52</v>
      </c>
      <c r="AY292" s="13">
        <f t="shared" si="346"/>
        <v>324</v>
      </c>
    </row>
    <row r="293" spans="1:51">
      <c r="A293" s="7">
        <v>5375760</v>
      </c>
      <c r="B293" s="7"/>
      <c r="C293" s="33" t="s">
        <v>88</v>
      </c>
      <c r="D293" s="1" t="s">
        <v>47</v>
      </c>
      <c r="E293" s="3">
        <v>1</v>
      </c>
      <c r="F293" s="1" t="s">
        <v>48</v>
      </c>
      <c r="G293" s="1">
        <v>1461112</v>
      </c>
      <c r="H293" s="2" t="s">
        <v>53</v>
      </c>
      <c r="I293" s="5" t="s">
        <v>50</v>
      </c>
      <c r="J293" s="1">
        <v>13</v>
      </c>
      <c r="K293" s="13" t="str">
        <f t="shared" si="343"/>
        <v>P</v>
      </c>
      <c r="L293" s="1">
        <v>12</v>
      </c>
      <c r="M293" s="13" t="str">
        <f t="shared" si="344"/>
        <v>P</v>
      </c>
      <c r="AB293" s="7" t="str">
        <f t="shared" si="335"/>
        <v>25</v>
      </c>
      <c r="AC293" s="13" t="str">
        <f t="shared" si="336"/>
        <v>C</v>
      </c>
      <c r="AD293" s="13" t="str">
        <f t="shared" si="347"/>
        <v>324</v>
      </c>
      <c r="AE293" s="1">
        <v>550</v>
      </c>
      <c r="AF293" s="15">
        <f t="shared" si="345"/>
        <v>58.909090909090914</v>
      </c>
      <c r="AG293" s="13" t="str">
        <f t="shared" si="345"/>
        <v>PASS</v>
      </c>
      <c r="AI293" s="1">
        <v>22</v>
      </c>
      <c r="AJ293" s="15">
        <f t="shared" si="348"/>
        <v>22</v>
      </c>
      <c r="AK293" s="16">
        <f t="shared" si="348"/>
        <v>136</v>
      </c>
      <c r="AL293" s="7">
        <f t="shared" si="348"/>
        <v>6.18</v>
      </c>
      <c r="AR293" s="7" t="str">
        <f t="shared" si="337"/>
        <v>B+</v>
      </c>
      <c r="AS293" s="8">
        <f t="shared" si="338"/>
        <v>5</v>
      </c>
      <c r="AT293" s="8">
        <f t="shared" si="339"/>
        <v>10</v>
      </c>
      <c r="AU293" s="13">
        <f>IF(OR(UPPER(TRIM(AC293))="AB", AC293=901, AC293="901"), 0, IF(ISNUMBER(MATCH(UPPER(TRIM(AC293)), {"A+","A","B+","B","C","D","P"}, 0)), 2, 0))</f>
        <v>2</v>
      </c>
      <c r="AV293" s="13">
        <f t="shared" si="340"/>
        <v>25</v>
      </c>
      <c r="AW293">
        <f t="shared" si="341"/>
        <v>25</v>
      </c>
      <c r="AX293" s="1">
        <f t="shared" si="342"/>
        <v>50</v>
      </c>
      <c r="AY293" s="13">
        <f t="shared" si="346"/>
        <v>324</v>
      </c>
    </row>
    <row r="294" spans="1:51">
      <c r="A294" s="7">
        <v>5375760</v>
      </c>
      <c r="B294" s="7"/>
      <c r="C294" s="33" t="s">
        <v>88</v>
      </c>
      <c r="D294" s="1" t="s">
        <v>47</v>
      </c>
      <c r="E294" s="3">
        <v>1</v>
      </c>
      <c r="F294" s="1" t="s">
        <v>48</v>
      </c>
      <c r="G294" s="1">
        <v>1461113</v>
      </c>
      <c r="H294" s="2" t="s">
        <v>54</v>
      </c>
      <c r="I294" s="5" t="s">
        <v>50</v>
      </c>
      <c r="J294" s="1">
        <v>19</v>
      </c>
      <c r="K294" s="13" t="str">
        <f t="shared" si="343"/>
        <v>P</v>
      </c>
      <c r="L294" s="1">
        <v>19</v>
      </c>
      <c r="M294" s="13" t="str">
        <f t="shared" si="344"/>
        <v>P</v>
      </c>
      <c r="AB294" s="7" t="str">
        <f t="shared" si="335"/>
        <v>38</v>
      </c>
      <c r="AC294" s="13" t="str">
        <f t="shared" si="336"/>
        <v>A</v>
      </c>
      <c r="AD294" s="13" t="str">
        <f t="shared" si="347"/>
        <v>324</v>
      </c>
      <c r="AE294" s="1">
        <v>550</v>
      </c>
      <c r="AF294" s="15">
        <f t="shared" si="345"/>
        <v>58.909090909090914</v>
      </c>
      <c r="AG294" s="13" t="str">
        <f t="shared" si="345"/>
        <v>PASS</v>
      </c>
      <c r="AI294" s="1">
        <v>22</v>
      </c>
      <c r="AJ294" s="15">
        <f t="shared" si="348"/>
        <v>22</v>
      </c>
      <c r="AK294" s="16">
        <f t="shared" si="348"/>
        <v>136</v>
      </c>
      <c r="AL294" s="7">
        <f t="shared" si="348"/>
        <v>6.18</v>
      </c>
      <c r="AR294" s="7" t="str">
        <f t="shared" si="337"/>
        <v>B+</v>
      </c>
      <c r="AS294" s="8">
        <f t="shared" si="338"/>
        <v>8</v>
      </c>
      <c r="AT294" s="8">
        <f t="shared" si="339"/>
        <v>16</v>
      </c>
      <c r="AU294" s="13">
        <f>IF(OR(UPPER(TRIM(AC294))="AB", AC294=901, AC294="901"), 0, IF(ISNUMBER(MATCH(UPPER(TRIM(AC294)), {"A+","A","B+","B","C","D","P"}, 0)), 2, 0))</f>
        <v>2</v>
      </c>
      <c r="AV294" s="13">
        <f t="shared" si="340"/>
        <v>38</v>
      </c>
      <c r="AW294">
        <f t="shared" si="341"/>
        <v>38</v>
      </c>
      <c r="AX294" s="1">
        <f t="shared" si="342"/>
        <v>76</v>
      </c>
      <c r="AY294" s="13">
        <f t="shared" si="346"/>
        <v>324</v>
      </c>
    </row>
    <row r="295" spans="1:51">
      <c r="A295" s="7">
        <v>5375760</v>
      </c>
      <c r="B295" s="7"/>
      <c r="C295" s="33" t="s">
        <v>88</v>
      </c>
      <c r="D295" s="1" t="s">
        <v>47</v>
      </c>
      <c r="E295" s="3">
        <v>1</v>
      </c>
      <c r="F295" s="1" t="s">
        <v>48</v>
      </c>
      <c r="G295" s="1">
        <v>1461411</v>
      </c>
      <c r="H295" s="2" t="s">
        <v>55</v>
      </c>
      <c r="I295" s="5" t="s">
        <v>50</v>
      </c>
      <c r="J295" s="1">
        <v>16</v>
      </c>
      <c r="K295" s="13" t="str">
        <f t="shared" si="343"/>
        <v>P</v>
      </c>
      <c r="L295" s="1">
        <v>12</v>
      </c>
      <c r="M295" s="13" t="str">
        <f t="shared" si="344"/>
        <v>P</v>
      </c>
      <c r="AB295" s="7" t="str">
        <f t="shared" si="335"/>
        <v>28</v>
      </c>
      <c r="AC295" s="13" t="str">
        <f t="shared" si="336"/>
        <v>B</v>
      </c>
      <c r="AD295" s="13" t="str">
        <f t="shared" si="347"/>
        <v>324</v>
      </c>
      <c r="AE295" s="1">
        <v>550</v>
      </c>
      <c r="AF295" s="15">
        <f t="shared" si="345"/>
        <v>58.909090909090914</v>
      </c>
      <c r="AG295" s="13" t="str">
        <f t="shared" si="345"/>
        <v>PASS</v>
      </c>
      <c r="AI295" s="1">
        <v>22</v>
      </c>
      <c r="AJ295" s="15">
        <f t="shared" si="348"/>
        <v>22</v>
      </c>
      <c r="AK295" s="16">
        <f t="shared" si="348"/>
        <v>136</v>
      </c>
      <c r="AL295" s="7">
        <f t="shared" si="348"/>
        <v>6.18</v>
      </c>
      <c r="AR295" s="7" t="str">
        <f t="shared" si="337"/>
        <v>B+</v>
      </c>
      <c r="AS295" s="8">
        <f t="shared" si="338"/>
        <v>6</v>
      </c>
      <c r="AT295" s="8">
        <f t="shared" si="339"/>
        <v>12</v>
      </c>
      <c r="AU295" s="13">
        <f>IF(OR(UPPER(TRIM(AC295))="AB", AC295=901, AC295="901"), 0, IF(ISNUMBER(MATCH(UPPER(TRIM(AC295)), {"A+","A","B+","B","C","D","P"}, 0)), 2, 0))</f>
        <v>2</v>
      </c>
      <c r="AV295" s="13">
        <f t="shared" si="340"/>
        <v>28</v>
      </c>
      <c r="AW295">
        <f t="shared" si="341"/>
        <v>28</v>
      </c>
      <c r="AX295" s="1">
        <f t="shared" si="342"/>
        <v>56.000000000000007</v>
      </c>
      <c r="AY295" s="13">
        <f t="shared" si="346"/>
        <v>324</v>
      </c>
    </row>
    <row r="296" spans="1:51">
      <c r="A296" s="7">
        <v>5375760</v>
      </c>
      <c r="B296" s="7"/>
      <c r="C296" s="33" t="s">
        <v>88</v>
      </c>
      <c r="D296" s="1" t="s">
        <v>47</v>
      </c>
      <c r="E296" s="3">
        <v>1</v>
      </c>
      <c r="F296" s="1" t="s">
        <v>48</v>
      </c>
      <c r="G296" s="1">
        <v>1461412</v>
      </c>
      <c r="H296" s="2" t="s">
        <v>56</v>
      </c>
      <c r="I296" s="5" t="s">
        <v>50</v>
      </c>
      <c r="J296" s="1">
        <v>13</v>
      </c>
      <c r="K296" s="13" t="str">
        <f t="shared" si="343"/>
        <v>P</v>
      </c>
      <c r="L296" s="1">
        <v>12</v>
      </c>
      <c r="M296" s="13" t="str">
        <f t="shared" si="344"/>
        <v>P</v>
      </c>
      <c r="AB296" s="7" t="str">
        <f t="shared" si="335"/>
        <v>25</v>
      </c>
      <c r="AC296" s="13" t="str">
        <f t="shared" si="336"/>
        <v>C</v>
      </c>
      <c r="AD296" s="13" t="str">
        <f t="shared" si="347"/>
        <v>324</v>
      </c>
      <c r="AE296" s="1">
        <v>550</v>
      </c>
      <c r="AF296" s="15">
        <f t="shared" si="345"/>
        <v>58.909090909090914</v>
      </c>
      <c r="AG296" s="13" t="str">
        <f t="shared" si="345"/>
        <v>PASS</v>
      </c>
      <c r="AI296" s="1">
        <v>22</v>
      </c>
      <c r="AJ296" s="15">
        <f t="shared" si="348"/>
        <v>22</v>
      </c>
      <c r="AK296" s="16">
        <f t="shared" si="348"/>
        <v>136</v>
      </c>
      <c r="AL296" s="7">
        <f t="shared" si="348"/>
        <v>6.18</v>
      </c>
      <c r="AR296" s="7" t="str">
        <f t="shared" si="337"/>
        <v>B+</v>
      </c>
      <c r="AS296" s="8">
        <f t="shared" si="338"/>
        <v>5</v>
      </c>
      <c r="AT296" s="8">
        <f t="shared" si="339"/>
        <v>10</v>
      </c>
      <c r="AU296" s="13">
        <f>IF(OR(UPPER(TRIM(AC296))="AB", AC296=901, AC296="901"), 0, IF(ISNUMBER(MATCH(UPPER(TRIM(AC296)), {"A+","A","B+","B","C","D","P"}, 0)), 2, 0))</f>
        <v>2</v>
      </c>
      <c r="AV296" s="13">
        <f t="shared" si="340"/>
        <v>25</v>
      </c>
      <c r="AW296">
        <f t="shared" si="341"/>
        <v>25</v>
      </c>
      <c r="AX296" s="1">
        <f t="shared" si="342"/>
        <v>50</v>
      </c>
      <c r="AY296" s="13">
        <f t="shared" si="346"/>
        <v>324</v>
      </c>
    </row>
    <row r="297" spans="1:51">
      <c r="A297" s="7">
        <v>5375760</v>
      </c>
      <c r="B297" s="7"/>
      <c r="C297" s="33" t="s">
        <v>88</v>
      </c>
      <c r="D297" s="1" t="s">
        <v>47</v>
      </c>
      <c r="E297" s="3">
        <v>1</v>
      </c>
      <c r="F297" s="1" t="s">
        <v>48</v>
      </c>
      <c r="G297" s="1">
        <v>2511515</v>
      </c>
      <c r="H297" s="2" t="s">
        <v>57</v>
      </c>
      <c r="I297" s="5" t="s">
        <v>50</v>
      </c>
      <c r="J297" s="1">
        <v>13</v>
      </c>
      <c r="K297" s="13" t="str">
        <f t="shared" si="343"/>
        <v>P</v>
      </c>
      <c r="L297" s="1">
        <v>12</v>
      </c>
      <c r="M297" s="13" t="str">
        <f t="shared" si="344"/>
        <v>P</v>
      </c>
      <c r="AB297" s="7" t="str">
        <f t="shared" si="335"/>
        <v>25</v>
      </c>
      <c r="AC297" s="13" t="str">
        <f t="shared" si="336"/>
        <v>C</v>
      </c>
      <c r="AD297" s="13" t="str">
        <f t="shared" si="347"/>
        <v>324</v>
      </c>
      <c r="AE297" s="1">
        <v>550</v>
      </c>
      <c r="AF297" s="15">
        <f t="shared" si="345"/>
        <v>58.909090909090914</v>
      </c>
      <c r="AG297" s="13" t="str">
        <f t="shared" si="345"/>
        <v>PASS</v>
      </c>
      <c r="AI297" s="1">
        <v>22</v>
      </c>
      <c r="AJ297" s="15">
        <f t="shared" si="348"/>
        <v>22</v>
      </c>
      <c r="AK297" s="16">
        <f t="shared" si="348"/>
        <v>136</v>
      </c>
      <c r="AL297" s="7">
        <f t="shared" si="348"/>
        <v>6.18</v>
      </c>
      <c r="AR297" s="7" t="str">
        <f t="shared" si="337"/>
        <v>B+</v>
      </c>
      <c r="AS297" s="8">
        <f t="shared" si="338"/>
        <v>5</v>
      </c>
      <c r="AT297" s="8">
        <f t="shared" si="339"/>
        <v>10</v>
      </c>
      <c r="AU297" s="13">
        <f>IF(OR(UPPER(TRIM(AC297))="AB", AC297=901, AC297="901"), 0, IF(ISNUMBER(MATCH(UPPER(TRIM(AC297)), {"A+","A","B+","B","C","D","P"}, 0)), 2, 0))</f>
        <v>2</v>
      </c>
      <c r="AV297" s="13">
        <f t="shared" si="340"/>
        <v>25</v>
      </c>
      <c r="AW297">
        <f t="shared" si="341"/>
        <v>25</v>
      </c>
      <c r="AX297" s="1">
        <f t="shared" si="342"/>
        <v>50</v>
      </c>
      <c r="AY297" s="13">
        <f t="shared" si="346"/>
        <v>324</v>
      </c>
    </row>
    <row r="298" spans="1:51">
      <c r="A298" s="7">
        <v>5375760</v>
      </c>
      <c r="B298" s="7"/>
      <c r="C298" s="33" t="s">
        <v>88</v>
      </c>
      <c r="D298" s="1" t="s">
        <v>47</v>
      </c>
      <c r="E298" s="3">
        <v>1</v>
      </c>
      <c r="F298" s="1" t="s">
        <v>48</v>
      </c>
      <c r="G298" s="1">
        <v>2521615</v>
      </c>
      <c r="H298" s="4" t="s">
        <v>58</v>
      </c>
      <c r="I298" s="5" t="s">
        <v>50</v>
      </c>
      <c r="J298" s="1">
        <v>19</v>
      </c>
      <c r="K298" s="13" t="str">
        <f t="shared" si="343"/>
        <v>P</v>
      </c>
      <c r="L298" s="1">
        <v>18</v>
      </c>
      <c r="M298" s="13" t="str">
        <f t="shared" si="344"/>
        <v>P</v>
      </c>
      <c r="AB298" s="7" t="str">
        <f t="shared" si="335"/>
        <v>37</v>
      </c>
      <c r="AC298" s="13" t="str">
        <f t="shared" si="336"/>
        <v>A</v>
      </c>
      <c r="AD298" s="13" t="str">
        <f t="shared" si="347"/>
        <v>324</v>
      </c>
      <c r="AE298" s="1">
        <v>550</v>
      </c>
      <c r="AF298" s="15">
        <f t="shared" si="345"/>
        <v>58.909090909090914</v>
      </c>
      <c r="AG298" s="13" t="str">
        <f t="shared" si="345"/>
        <v>PASS</v>
      </c>
      <c r="AI298" s="1">
        <v>22</v>
      </c>
      <c r="AJ298" s="15">
        <f t="shared" si="348"/>
        <v>22</v>
      </c>
      <c r="AK298" s="16">
        <f t="shared" si="348"/>
        <v>136</v>
      </c>
      <c r="AL298" s="7">
        <f t="shared" si="348"/>
        <v>6.18</v>
      </c>
      <c r="AR298" s="7" t="str">
        <f t="shared" si="337"/>
        <v>B+</v>
      </c>
      <c r="AS298" s="8">
        <f t="shared" si="338"/>
        <v>8</v>
      </c>
      <c r="AT298" s="8">
        <f t="shared" si="339"/>
        <v>16</v>
      </c>
      <c r="AU298" s="13">
        <f>IF(OR(UPPER(TRIM(AC298))="AB", AC298=901, AC298="901"), 0, IF(ISNUMBER(MATCH(UPPER(TRIM(AC298)), {"A+","A","B+","B","C","D","P"}, 0)), 2, 0))</f>
        <v>2</v>
      </c>
      <c r="AV298" s="13">
        <f t="shared" si="340"/>
        <v>37</v>
      </c>
      <c r="AW298">
        <f t="shared" si="341"/>
        <v>37</v>
      </c>
      <c r="AX298" s="1">
        <f t="shared" si="342"/>
        <v>74</v>
      </c>
      <c r="AY298" s="13">
        <f t="shared" si="346"/>
        <v>324</v>
      </c>
    </row>
    <row r="299" spans="1:51">
      <c r="A299" s="7">
        <v>5375760</v>
      </c>
      <c r="B299" s="7"/>
      <c r="C299" s="33" t="s">
        <v>88</v>
      </c>
      <c r="D299" s="1" t="s">
        <v>47</v>
      </c>
      <c r="E299" s="3">
        <v>1</v>
      </c>
      <c r="F299" s="1" t="s">
        <v>48</v>
      </c>
      <c r="G299" s="1">
        <v>2531511</v>
      </c>
      <c r="H299" s="2" t="s">
        <v>59</v>
      </c>
      <c r="I299" s="5" t="s">
        <v>50</v>
      </c>
      <c r="J299" s="1">
        <v>14</v>
      </c>
      <c r="K299" s="13" t="str">
        <f t="shared" si="343"/>
        <v>P</v>
      </c>
      <c r="L299" s="1">
        <v>14</v>
      </c>
      <c r="M299" s="13" t="str">
        <f t="shared" si="344"/>
        <v>P</v>
      </c>
      <c r="AB299" s="7" t="str">
        <f t="shared" si="335"/>
        <v>28</v>
      </c>
      <c r="AC299" s="13" t="str">
        <f t="shared" si="336"/>
        <v>B</v>
      </c>
      <c r="AD299" s="13" t="str">
        <f t="shared" si="347"/>
        <v>324</v>
      </c>
      <c r="AE299" s="1">
        <v>550</v>
      </c>
      <c r="AF299" s="15">
        <f t="shared" si="345"/>
        <v>58.909090909090914</v>
      </c>
      <c r="AG299" s="13" t="str">
        <f t="shared" si="345"/>
        <v>PASS</v>
      </c>
      <c r="AI299" s="1">
        <v>22</v>
      </c>
      <c r="AJ299" s="15">
        <f t="shared" si="348"/>
        <v>22</v>
      </c>
      <c r="AK299" s="16">
        <f t="shared" si="348"/>
        <v>136</v>
      </c>
      <c r="AL299" s="7">
        <f t="shared" si="348"/>
        <v>6.18</v>
      </c>
      <c r="AR299" s="7" t="str">
        <f t="shared" si="337"/>
        <v>B+</v>
      </c>
      <c r="AS299" s="8">
        <f t="shared" si="338"/>
        <v>6</v>
      </c>
      <c r="AT299" s="8">
        <f t="shared" si="339"/>
        <v>12</v>
      </c>
      <c r="AU299" s="13">
        <f>IF(OR(UPPER(TRIM(AC299))="AB", AC299=901, AC299="901"), 0, IF(ISNUMBER(MATCH(UPPER(TRIM(AC299)), {"A+","A","B+","B","C","D","P"}, 0)), 2, 0))</f>
        <v>2</v>
      </c>
      <c r="AV299" s="13">
        <f t="shared" si="340"/>
        <v>28</v>
      </c>
      <c r="AW299">
        <f t="shared" si="341"/>
        <v>28</v>
      </c>
      <c r="AX299" s="1">
        <f t="shared" si="342"/>
        <v>56.000000000000007</v>
      </c>
      <c r="AY299" s="13">
        <f t="shared" si="346"/>
        <v>324</v>
      </c>
    </row>
    <row r="300" spans="1:51">
      <c r="A300" s="7">
        <v>5375760</v>
      </c>
      <c r="B300" s="7"/>
      <c r="C300" s="33" t="s">
        <v>88</v>
      </c>
      <c r="D300" s="1" t="s">
        <v>47</v>
      </c>
      <c r="E300" s="3">
        <v>1</v>
      </c>
      <c r="F300" s="1" t="s">
        <v>48</v>
      </c>
      <c r="G300" s="1">
        <v>2541515</v>
      </c>
      <c r="H300" s="2" t="s">
        <v>60</v>
      </c>
      <c r="I300" s="5" t="s">
        <v>50</v>
      </c>
      <c r="J300" s="1">
        <v>15</v>
      </c>
      <c r="K300" s="13" t="str">
        <f t="shared" si="343"/>
        <v>P</v>
      </c>
      <c r="L300" s="1">
        <v>12</v>
      </c>
      <c r="M300" s="13" t="str">
        <f t="shared" si="344"/>
        <v>P</v>
      </c>
      <c r="AB300" s="7" t="str">
        <f t="shared" si="335"/>
        <v>27</v>
      </c>
      <c r="AC300" s="13" t="str">
        <f t="shared" si="336"/>
        <v>C</v>
      </c>
      <c r="AD300" s="13" t="str">
        <f t="shared" si="347"/>
        <v>324</v>
      </c>
      <c r="AE300" s="1">
        <v>550</v>
      </c>
      <c r="AF300" s="15">
        <f t="shared" si="345"/>
        <v>58.909090909090914</v>
      </c>
      <c r="AG300" s="13" t="str">
        <f t="shared" si="345"/>
        <v>PASS</v>
      </c>
      <c r="AI300" s="1">
        <v>22</v>
      </c>
      <c r="AJ300" s="15">
        <f t="shared" si="348"/>
        <v>22</v>
      </c>
      <c r="AK300" s="16">
        <f t="shared" si="348"/>
        <v>136</v>
      </c>
      <c r="AL300" s="7">
        <f t="shared" si="348"/>
        <v>6.18</v>
      </c>
      <c r="AR300" s="7" t="str">
        <f t="shared" si="337"/>
        <v>B+</v>
      </c>
      <c r="AS300" s="8">
        <f t="shared" si="338"/>
        <v>5</v>
      </c>
      <c r="AT300" s="8">
        <f t="shared" si="339"/>
        <v>10</v>
      </c>
      <c r="AU300" s="13">
        <f>IF(OR(UPPER(TRIM(AC300))="AB", AC300=901, AC300="901"), 0, IF(ISNUMBER(MATCH(UPPER(TRIM(AC300)), {"A+","A","B+","B","C","D","P"}, 0)), 2, 0))</f>
        <v>2</v>
      </c>
      <c r="AV300" s="13">
        <f t="shared" si="340"/>
        <v>27</v>
      </c>
      <c r="AW300">
        <f t="shared" si="341"/>
        <v>27</v>
      </c>
      <c r="AX300" s="1">
        <f t="shared" si="342"/>
        <v>54</v>
      </c>
      <c r="AY300" s="13">
        <f t="shared" si="346"/>
        <v>324</v>
      </c>
    </row>
    <row r="302" spans="1:51">
      <c r="A302" s="7">
        <v>5068160</v>
      </c>
      <c r="B302" s="7"/>
      <c r="C302" s="33" t="s">
        <v>89</v>
      </c>
      <c r="D302" s="1" t="s">
        <v>47</v>
      </c>
      <c r="E302" s="3">
        <v>1</v>
      </c>
      <c r="F302" s="1" t="s">
        <v>48</v>
      </c>
      <c r="G302" s="1">
        <v>1011312</v>
      </c>
      <c r="H302" s="2" t="s">
        <v>49</v>
      </c>
      <c r="I302" s="5" t="s">
        <v>50</v>
      </c>
      <c r="J302" s="6">
        <v>19</v>
      </c>
      <c r="K302" s="13" t="str">
        <f>IF(OR(UPPER(TRIM(J302))="AB",J302=901,J302="901"),"F",IF(J302&gt;=8,"P","F"))</f>
        <v>P</v>
      </c>
      <c r="L302" s="1">
        <v>28</v>
      </c>
      <c r="M302" s="13" t="str">
        <f>IF(OR(UPPER(TRIM(L302))="AB",L302=901,L302="901"),"F",IF(L302&gt;=8,"P","F"))</f>
        <v>P</v>
      </c>
      <c r="N302" s="13"/>
      <c r="O302" s="13"/>
      <c r="P302" s="13"/>
      <c r="Q302" s="13"/>
      <c r="R302" s="13"/>
      <c r="S302" s="13"/>
      <c r="T302" s="13"/>
      <c r="U302" s="13"/>
      <c r="V302" s="13"/>
      <c r="W302" s="13"/>
      <c r="X302" s="13"/>
      <c r="Y302" s="13"/>
      <c r="Z302" s="13"/>
      <c r="AB302" s="7" t="str">
        <f t="shared" ref="AB302:AB312" si="349">AV302 &amp; IF(AA302&lt;&gt;"", " @ " &amp; AA302, "")</f>
        <v>47</v>
      </c>
      <c r="AC302" s="13" t="str">
        <f t="shared" ref="AC302:AC312" si="350">IF(AX302&gt;=90,"O",
IF(AX302&gt;=80,"A+",
IF(AX302&gt;=70,"A",
IF(AX302&gt;=60,"B+",
IF(AX302&gt;=55,"B",
IF(AX302&gt;=50,"C",
IF(AX302&gt;=40,"D","F")))))))</f>
        <v>O</v>
      </c>
      <c r="AD302" s="13" t="str">
        <f>SUM(AV302:AV312) &amp; IF(SUM(AA302:AA312)&gt;0, " @ " &amp; SUM(AA302:AA312), "")</f>
        <v>462</v>
      </c>
      <c r="AE302" s="1">
        <v>550</v>
      </c>
      <c r="AF302" s="15">
        <f>AY302/AE302*100</f>
        <v>84</v>
      </c>
      <c r="AG302" s="13" t="str" cm="1">
        <f t="array" ref="AG302">IF(
  SUMPRODUCT(--(IFERROR(VALUE(J302:J312),9999)&lt;8))
  + SUMPRODUCT(--(IFERROR(VALUE(L302:L312),9999)&lt;12))
  + COUNTIF(J302:J312,"AB") + COUNTIF(L302:L312,"AB")
  + COUNTIF(J302:J312,901) + COUNTIF(L302:L312,901) &gt; 0,
  "ATKT",
  "PASS"
)</f>
        <v>PASS</v>
      </c>
      <c r="AI302" s="1">
        <v>22</v>
      </c>
      <c r="AJ302" s="15">
        <f>SUM(AU302:AU312)</f>
        <v>18</v>
      </c>
      <c r="AK302" s="16">
        <f>SUM(AT302:AT312)</f>
        <v>196</v>
      </c>
      <c r="AL302" s="7">
        <f>IF(UPPER(TRIM(AG302))="ATKT",0,ROUND( (SUM(AT302:AT312) /22), 2))</f>
        <v>8.91</v>
      </c>
      <c r="AR302" s="7" t="str">
        <f t="shared" ref="AR302:AR312" si="351">IF(AL302&gt;=9,"O", IF(AL302&gt;=8,"A+", IF(AL302&gt;=7,"A", IF(AL302&gt;=6,"B+", IF(AL302&gt;=5.5,"B", IF(AL302&gt;=5,"C", IF(AL302&gt;=4,"D","F")))))))</f>
        <v>A+</v>
      </c>
      <c r="AS302" s="8">
        <f t="shared" ref="AS302:AS312" si="352">IF(AX302&gt;=90,10,
IF(AX302&gt;=80,9,
IF(AX302&gt;=70,8,
IF(AX302&gt;=60,7,
IF(AX302&gt;=55,6,
IF(AX302&gt;=50,5,
IF(AX302&gt;=40,4,0)))))))</f>
        <v>10</v>
      </c>
      <c r="AT302" s="8">
        <f t="shared" ref="AT302:AT312" si="353">AS302*I302</f>
        <v>20</v>
      </c>
      <c r="AU302" s="13">
        <f>IF(OR(UPPER(TRIM(AC302))="AB", AC302=901, AC302="901"), 0, IF(ISNUMBER(MATCH(UPPER(TRIM(AC302)), {"A+","A","B+","B","C","D","P"}, 0)), 2, 0))</f>
        <v>0</v>
      </c>
      <c r="AV302" s="13">
        <f t="shared" ref="AV302:AV312" si="354">SUM(
IF(OR(UPPER(TRIM(J302))="AB",J302=901,J302="901"),0,IFERROR(VALUE(J302),0)),
IF(OR(UPPER(TRIM(L302))="AB",L302=901,L302="901"),0,IFERROR(VALUE(L302),0)),
IF(OR(UPPER(TRIM(N302))="AB",N302=901,N302="901"),0,IFERROR(VALUE(N302),0))
)</f>
        <v>47</v>
      </c>
      <c r="AW302">
        <f t="shared" ref="AW302:AW312" si="355">AA302+AV302</f>
        <v>47</v>
      </c>
      <c r="AX302" s="1">
        <f t="shared" ref="AX302:AX312" si="356">(AW302 / 50) * 100</f>
        <v>94</v>
      </c>
      <c r="AY302" s="13">
        <f>SUM(AW302:AW312)</f>
        <v>462</v>
      </c>
    </row>
    <row r="303" spans="1:51">
      <c r="A303" s="7">
        <v>5068160</v>
      </c>
      <c r="B303" s="7"/>
      <c r="C303" s="33" t="s">
        <v>89</v>
      </c>
      <c r="D303" s="1" t="s">
        <v>47</v>
      </c>
      <c r="E303" s="3">
        <v>1</v>
      </c>
      <c r="F303" s="1" t="s">
        <v>48</v>
      </c>
      <c r="G303" s="1">
        <v>1171312</v>
      </c>
      <c r="H303" s="2" t="s">
        <v>51</v>
      </c>
      <c r="I303" s="5" t="s">
        <v>50</v>
      </c>
      <c r="J303" s="1">
        <v>20</v>
      </c>
      <c r="K303" s="13" t="str">
        <f t="shared" ref="K303:K312" si="357">IF(OR(UPPER(TRIM(J303))="AB",J303=901,J303="901"),"F",IF(J303&gt;=8,"P","F"))</f>
        <v>P</v>
      </c>
      <c r="L303" s="1">
        <v>20</v>
      </c>
      <c r="M303" s="13" t="str">
        <f t="shared" ref="M303:M312" si="358">IF(OR(UPPER(TRIM(L303))="AB",L303=901,L303="901"),"F",IF(L303&gt;=8,"P","F"))</f>
        <v>P</v>
      </c>
      <c r="AB303" s="7" t="str">
        <f t="shared" si="349"/>
        <v>40</v>
      </c>
      <c r="AC303" s="13" t="str">
        <f t="shared" si="350"/>
        <v>A+</v>
      </c>
      <c r="AD303" s="13" t="str">
        <f>AD302</f>
        <v>462</v>
      </c>
      <c r="AE303" s="1">
        <v>550</v>
      </c>
      <c r="AF303" s="15">
        <f t="shared" ref="AF303:AG312" si="359">AF302</f>
        <v>84</v>
      </c>
      <c r="AG303" s="13" t="str">
        <f t="shared" si="359"/>
        <v>PASS</v>
      </c>
      <c r="AI303" s="1">
        <v>22</v>
      </c>
      <c r="AJ303" s="15">
        <f>AJ302</f>
        <v>18</v>
      </c>
      <c r="AK303" s="16">
        <f>AK302</f>
        <v>196</v>
      </c>
      <c r="AL303" s="7">
        <f>AL302</f>
        <v>8.91</v>
      </c>
      <c r="AR303" s="7" t="str">
        <f t="shared" si="351"/>
        <v>A+</v>
      </c>
      <c r="AS303" s="8">
        <f t="shared" si="352"/>
        <v>9</v>
      </c>
      <c r="AT303" s="8">
        <f t="shared" si="353"/>
        <v>18</v>
      </c>
      <c r="AU303" s="13">
        <f>IF(OR(UPPER(TRIM(AC303))="AB", AC303=901, AC303="901"), 0, IF(ISNUMBER(MATCH(UPPER(TRIM(AC303)), {"A+","A","B+","B","C","D","P"}, 0)), 2, 0))</f>
        <v>2</v>
      </c>
      <c r="AV303" s="13">
        <f t="shared" si="354"/>
        <v>40</v>
      </c>
      <c r="AW303">
        <f t="shared" si="355"/>
        <v>40</v>
      </c>
      <c r="AX303" s="1">
        <f t="shared" si="356"/>
        <v>80</v>
      </c>
      <c r="AY303" s="13">
        <f t="shared" ref="AY303:AY312" si="360">AY302</f>
        <v>462</v>
      </c>
    </row>
    <row r="304" spans="1:51">
      <c r="A304" s="7">
        <v>5068160</v>
      </c>
      <c r="B304" s="7"/>
      <c r="C304" s="33" t="s">
        <v>89</v>
      </c>
      <c r="D304" s="1" t="s">
        <v>47</v>
      </c>
      <c r="E304" s="3">
        <v>1</v>
      </c>
      <c r="F304" s="1" t="s">
        <v>48</v>
      </c>
      <c r="G304" s="1">
        <v>1461111</v>
      </c>
      <c r="H304" s="2" t="s">
        <v>52</v>
      </c>
      <c r="I304" s="5" t="s">
        <v>50</v>
      </c>
      <c r="J304" s="1">
        <v>18</v>
      </c>
      <c r="K304" s="13" t="str">
        <f t="shared" si="357"/>
        <v>P</v>
      </c>
      <c r="L304" s="1">
        <v>23</v>
      </c>
      <c r="M304" s="13" t="str">
        <f t="shared" si="358"/>
        <v>P</v>
      </c>
      <c r="AB304" s="7" t="str">
        <f t="shared" si="349"/>
        <v>41</v>
      </c>
      <c r="AC304" s="13" t="str">
        <f t="shared" si="350"/>
        <v>A+</v>
      </c>
      <c r="AD304" s="13" t="str">
        <f t="shared" ref="AD304:AD312" si="361">AD303</f>
        <v>462</v>
      </c>
      <c r="AE304" s="1">
        <v>550</v>
      </c>
      <c r="AF304" s="15">
        <f t="shared" si="359"/>
        <v>84</v>
      </c>
      <c r="AG304" s="13" t="str">
        <f t="shared" si="359"/>
        <v>PASS</v>
      </c>
      <c r="AI304" s="1">
        <v>22</v>
      </c>
      <c r="AJ304" s="15">
        <f t="shared" ref="AJ304:AL312" si="362">AJ303</f>
        <v>18</v>
      </c>
      <c r="AK304" s="16">
        <f t="shared" si="362"/>
        <v>196</v>
      </c>
      <c r="AL304" s="7">
        <f t="shared" si="362"/>
        <v>8.91</v>
      </c>
      <c r="AR304" s="7" t="str">
        <f t="shared" si="351"/>
        <v>A+</v>
      </c>
      <c r="AS304" s="8">
        <f t="shared" si="352"/>
        <v>9</v>
      </c>
      <c r="AT304" s="8">
        <f t="shared" si="353"/>
        <v>18</v>
      </c>
      <c r="AU304" s="13">
        <f>IF(OR(UPPER(TRIM(AC304))="AB", AC304=901, AC304="901"), 0, IF(ISNUMBER(MATCH(UPPER(TRIM(AC304)), {"A+","A","B+","B","C","D","P"}, 0)), 2, 0))</f>
        <v>2</v>
      </c>
      <c r="AV304" s="13">
        <f t="shared" si="354"/>
        <v>41</v>
      </c>
      <c r="AW304">
        <f t="shared" si="355"/>
        <v>41</v>
      </c>
      <c r="AX304" s="1">
        <f t="shared" si="356"/>
        <v>82</v>
      </c>
      <c r="AY304" s="13">
        <f t="shared" si="360"/>
        <v>462</v>
      </c>
    </row>
    <row r="305" spans="1:51">
      <c r="A305" s="7">
        <v>5068160</v>
      </c>
      <c r="B305" s="7"/>
      <c r="C305" s="33" t="s">
        <v>89</v>
      </c>
      <c r="D305" s="1" t="s">
        <v>47</v>
      </c>
      <c r="E305" s="3">
        <v>1</v>
      </c>
      <c r="F305" s="1" t="s">
        <v>48</v>
      </c>
      <c r="G305" s="1">
        <v>1461112</v>
      </c>
      <c r="H305" s="2" t="s">
        <v>53</v>
      </c>
      <c r="I305" s="5" t="s">
        <v>50</v>
      </c>
      <c r="J305" s="1">
        <v>18</v>
      </c>
      <c r="K305" s="13" t="str">
        <f t="shared" si="357"/>
        <v>P</v>
      </c>
      <c r="L305" s="1">
        <v>25</v>
      </c>
      <c r="M305" s="13" t="str">
        <f t="shared" si="358"/>
        <v>P</v>
      </c>
      <c r="AB305" s="7" t="str">
        <f t="shared" si="349"/>
        <v>43</v>
      </c>
      <c r="AC305" s="13" t="str">
        <f t="shared" si="350"/>
        <v>A+</v>
      </c>
      <c r="AD305" s="13" t="str">
        <f t="shared" si="361"/>
        <v>462</v>
      </c>
      <c r="AE305" s="1">
        <v>550</v>
      </c>
      <c r="AF305" s="15">
        <f t="shared" si="359"/>
        <v>84</v>
      </c>
      <c r="AG305" s="13" t="str">
        <f t="shared" si="359"/>
        <v>PASS</v>
      </c>
      <c r="AI305" s="1">
        <v>22</v>
      </c>
      <c r="AJ305" s="15">
        <f t="shared" si="362"/>
        <v>18</v>
      </c>
      <c r="AK305" s="16">
        <f t="shared" si="362"/>
        <v>196</v>
      </c>
      <c r="AL305" s="7">
        <f t="shared" si="362"/>
        <v>8.91</v>
      </c>
      <c r="AR305" s="7" t="str">
        <f t="shared" si="351"/>
        <v>A+</v>
      </c>
      <c r="AS305" s="8">
        <f t="shared" si="352"/>
        <v>9</v>
      </c>
      <c r="AT305" s="8">
        <f t="shared" si="353"/>
        <v>18</v>
      </c>
      <c r="AU305" s="13">
        <f>IF(OR(UPPER(TRIM(AC305))="AB", AC305=901, AC305="901"), 0, IF(ISNUMBER(MATCH(UPPER(TRIM(AC305)), {"A+","A","B+","B","C","D","P"}, 0)), 2, 0))</f>
        <v>2</v>
      </c>
      <c r="AV305" s="13">
        <f t="shared" si="354"/>
        <v>43</v>
      </c>
      <c r="AW305">
        <f t="shared" si="355"/>
        <v>43</v>
      </c>
      <c r="AX305" s="1">
        <f t="shared" si="356"/>
        <v>86</v>
      </c>
      <c r="AY305" s="13">
        <f t="shared" si="360"/>
        <v>462</v>
      </c>
    </row>
    <row r="306" spans="1:51">
      <c r="A306" s="7">
        <v>5068160</v>
      </c>
      <c r="B306" s="7"/>
      <c r="C306" s="33" t="s">
        <v>89</v>
      </c>
      <c r="D306" s="1" t="s">
        <v>47</v>
      </c>
      <c r="E306" s="3">
        <v>1</v>
      </c>
      <c r="F306" s="1" t="s">
        <v>48</v>
      </c>
      <c r="G306" s="1">
        <v>1461113</v>
      </c>
      <c r="H306" s="2" t="s">
        <v>54</v>
      </c>
      <c r="I306" s="5" t="s">
        <v>50</v>
      </c>
      <c r="J306" s="1">
        <v>19</v>
      </c>
      <c r="K306" s="13" t="str">
        <f t="shared" si="357"/>
        <v>P</v>
      </c>
      <c r="L306" s="1">
        <v>24</v>
      </c>
      <c r="M306" s="13" t="str">
        <f t="shared" si="358"/>
        <v>P</v>
      </c>
      <c r="AB306" s="7" t="str">
        <f t="shared" si="349"/>
        <v>43</v>
      </c>
      <c r="AC306" s="13" t="str">
        <f t="shared" si="350"/>
        <v>A+</v>
      </c>
      <c r="AD306" s="13" t="str">
        <f t="shared" si="361"/>
        <v>462</v>
      </c>
      <c r="AE306" s="1">
        <v>550</v>
      </c>
      <c r="AF306" s="15">
        <f t="shared" si="359"/>
        <v>84</v>
      </c>
      <c r="AG306" s="13" t="str">
        <f t="shared" si="359"/>
        <v>PASS</v>
      </c>
      <c r="AI306" s="1">
        <v>22</v>
      </c>
      <c r="AJ306" s="15">
        <f t="shared" si="362"/>
        <v>18</v>
      </c>
      <c r="AK306" s="16">
        <f t="shared" si="362"/>
        <v>196</v>
      </c>
      <c r="AL306" s="7">
        <f t="shared" si="362"/>
        <v>8.91</v>
      </c>
      <c r="AR306" s="7" t="str">
        <f t="shared" si="351"/>
        <v>A+</v>
      </c>
      <c r="AS306" s="8">
        <f t="shared" si="352"/>
        <v>9</v>
      </c>
      <c r="AT306" s="8">
        <f t="shared" si="353"/>
        <v>18</v>
      </c>
      <c r="AU306" s="13">
        <f>IF(OR(UPPER(TRIM(AC306))="AB", AC306=901, AC306="901"), 0, IF(ISNUMBER(MATCH(UPPER(TRIM(AC306)), {"A+","A","B+","B","C","D","P"}, 0)), 2, 0))</f>
        <v>2</v>
      </c>
      <c r="AV306" s="13">
        <f t="shared" si="354"/>
        <v>43</v>
      </c>
      <c r="AW306">
        <f t="shared" si="355"/>
        <v>43</v>
      </c>
      <c r="AX306" s="1">
        <f t="shared" si="356"/>
        <v>86</v>
      </c>
      <c r="AY306" s="13">
        <f t="shared" si="360"/>
        <v>462</v>
      </c>
    </row>
    <row r="307" spans="1:51">
      <c r="A307" s="7">
        <v>5068160</v>
      </c>
      <c r="B307" s="7"/>
      <c r="C307" s="33" t="s">
        <v>89</v>
      </c>
      <c r="D307" s="1" t="s">
        <v>47</v>
      </c>
      <c r="E307" s="3">
        <v>1</v>
      </c>
      <c r="F307" s="1" t="s">
        <v>48</v>
      </c>
      <c r="G307" s="1">
        <v>1461411</v>
      </c>
      <c r="H307" s="2" t="s">
        <v>55</v>
      </c>
      <c r="I307" s="5" t="s">
        <v>50</v>
      </c>
      <c r="J307" s="1">
        <v>19</v>
      </c>
      <c r="K307" s="13" t="str">
        <f t="shared" si="357"/>
        <v>P</v>
      </c>
      <c r="L307" s="1">
        <v>17</v>
      </c>
      <c r="M307" s="13" t="str">
        <f t="shared" si="358"/>
        <v>P</v>
      </c>
      <c r="AB307" s="7" t="str">
        <f t="shared" si="349"/>
        <v>36</v>
      </c>
      <c r="AC307" s="13" t="str">
        <f t="shared" si="350"/>
        <v>A</v>
      </c>
      <c r="AD307" s="13" t="str">
        <f t="shared" si="361"/>
        <v>462</v>
      </c>
      <c r="AE307" s="1">
        <v>550</v>
      </c>
      <c r="AF307" s="15">
        <f t="shared" si="359"/>
        <v>84</v>
      </c>
      <c r="AG307" s="13" t="str">
        <f t="shared" si="359"/>
        <v>PASS</v>
      </c>
      <c r="AI307" s="1">
        <v>22</v>
      </c>
      <c r="AJ307" s="15">
        <f t="shared" si="362"/>
        <v>18</v>
      </c>
      <c r="AK307" s="16">
        <f t="shared" si="362"/>
        <v>196</v>
      </c>
      <c r="AL307" s="7">
        <f t="shared" si="362"/>
        <v>8.91</v>
      </c>
      <c r="AR307" s="7" t="str">
        <f t="shared" si="351"/>
        <v>A+</v>
      </c>
      <c r="AS307" s="8">
        <f t="shared" si="352"/>
        <v>8</v>
      </c>
      <c r="AT307" s="8">
        <f t="shared" si="353"/>
        <v>16</v>
      </c>
      <c r="AU307" s="13">
        <f>IF(OR(UPPER(TRIM(AC307))="AB", AC307=901, AC307="901"), 0, IF(ISNUMBER(MATCH(UPPER(TRIM(AC307)), {"A+","A","B+","B","C","D","P"}, 0)), 2, 0))</f>
        <v>2</v>
      </c>
      <c r="AV307" s="13">
        <f t="shared" si="354"/>
        <v>36</v>
      </c>
      <c r="AW307">
        <f t="shared" si="355"/>
        <v>36</v>
      </c>
      <c r="AX307" s="1">
        <f t="shared" si="356"/>
        <v>72</v>
      </c>
      <c r="AY307" s="13">
        <f t="shared" si="360"/>
        <v>462</v>
      </c>
    </row>
    <row r="308" spans="1:51">
      <c r="A308" s="7">
        <v>5068160</v>
      </c>
      <c r="B308" s="7"/>
      <c r="C308" s="33" t="s">
        <v>89</v>
      </c>
      <c r="D308" s="1" t="s">
        <v>47</v>
      </c>
      <c r="E308" s="3">
        <v>1</v>
      </c>
      <c r="F308" s="1" t="s">
        <v>48</v>
      </c>
      <c r="G308" s="1">
        <v>1461412</v>
      </c>
      <c r="H308" s="2" t="s">
        <v>56</v>
      </c>
      <c r="I308" s="5" t="s">
        <v>50</v>
      </c>
      <c r="J308" s="1">
        <v>18</v>
      </c>
      <c r="K308" s="13" t="str">
        <f t="shared" si="357"/>
        <v>P</v>
      </c>
      <c r="L308" s="1">
        <v>20</v>
      </c>
      <c r="M308" s="13" t="str">
        <f t="shared" si="358"/>
        <v>P</v>
      </c>
      <c r="AB308" s="7" t="str">
        <f t="shared" si="349"/>
        <v>38</v>
      </c>
      <c r="AC308" s="13" t="str">
        <f t="shared" si="350"/>
        <v>A</v>
      </c>
      <c r="AD308" s="13" t="str">
        <f t="shared" si="361"/>
        <v>462</v>
      </c>
      <c r="AE308" s="1">
        <v>550</v>
      </c>
      <c r="AF308" s="15">
        <f t="shared" si="359"/>
        <v>84</v>
      </c>
      <c r="AG308" s="13" t="str">
        <f t="shared" si="359"/>
        <v>PASS</v>
      </c>
      <c r="AI308" s="1">
        <v>22</v>
      </c>
      <c r="AJ308" s="15">
        <f t="shared" si="362"/>
        <v>18</v>
      </c>
      <c r="AK308" s="16">
        <f t="shared" si="362"/>
        <v>196</v>
      </c>
      <c r="AL308" s="7">
        <f t="shared" si="362"/>
        <v>8.91</v>
      </c>
      <c r="AR308" s="7" t="str">
        <f t="shared" si="351"/>
        <v>A+</v>
      </c>
      <c r="AS308" s="8">
        <f t="shared" si="352"/>
        <v>8</v>
      </c>
      <c r="AT308" s="8">
        <f t="shared" si="353"/>
        <v>16</v>
      </c>
      <c r="AU308" s="13">
        <f>IF(OR(UPPER(TRIM(AC308))="AB", AC308=901, AC308="901"), 0, IF(ISNUMBER(MATCH(UPPER(TRIM(AC308)), {"A+","A","B+","B","C","D","P"}, 0)), 2, 0))</f>
        <v>2</v>
      </c>
      <c r="AV308" s="13">
        <f t="shared" si="354"/>
        <v>38</v>
      </c>
      <c r="AW308">
        <f t="shared" si="355"/>
        <v>38</v>
      </c>
      <c r="AX308" s="1">
        <f t="shared" si="356"/>
        <v>76</v>
      </c>
      <c r="AY308" s="13">
        <f t="shared" si="360"/>
        <v>462</v>
      </c>
    </row>
    <row r="309" spans="1:51">
      <c r="A309" s="7">
        <v>5068160</v>
      </c>
      <c r="B309" s="7"/>
      <c r="C309" s="33" t="s">
        <v>89</v>
      </c>
      <c r="D309" s="1" t="s">
        <v>47</v>
      </c>
      <c r="E309" s="3">
        <v>1</v>
      </c>
      <c r="F309" s="1" t="s">
        <v>48</v>
      </c>
      <c r="G309" s="1">
        <v>2511515</v>
      </c>
      <c r="H309" s="2" t="s">
        <v>57</v>
      </c>
      <c r="I309" s="5" t="s">
        <v>50</v>
      </c>
      <c r="J309" s="1">
        <v>17</v>
      </c>
      <c r="K309" s="13" t="str">
        <f t="shared" si="357"/>
        <v>P</v>
      </c>
      <c r="L309" s="1">
        <v>22</v>
      </c>
      <c r="M309" s="13" t="str">
        <f t="shared" si="358"/>
        <v>P</v>
      </c>
      <c r="AB309" s="7" t="str">
        <f t="shared" si="349"/>
        <v>39</v>
      </c>
      <c r="AC309" s="13" t="str">
        <f t="shared" si="350"/>
        <v>A</v>
      </c>
      <c r="AD309" s="13" t="str">
        <f t="shared" si="361"/>
        <v>462</v>
      </c>
      <c r="AE309" s="1">
        <v>550</v>
      </c>
      <c r="AF309" s="15">
        <f t="shared" si="359"/>
        <v>84</v>
      </c>
      <c r="AG309" s="13" t="str">
        <f t="shared" si="359"/>
        <v>PASS</v>
      </c>
      <c r="AI309" s="1">
        <v>22</v>
      </c>
      <c r="AJ309" s="15">
        <f t="shared" si="362"/>
        <v>18</v>
      </c>
      <c r="AK309" s="16">
        <f t="shared" si="362"/>
        <v>196</v>
      </c>
      <c r="AL309" s="7">
        <f t="shared" si="362"/>
        <v>8.91</v>
      </c>
      <c r="AR309" s="7" t="str">
        <f t="shared" si="351"/>
        <v>A+</v>
      </c>
      <c r="AS309" s="8">
        <f t="shared" si="352"/>
        <v>8</v>
      </c>
      <c r="AT309" s="8">
        <f t="shared" si="353"/>
        <v>16</v>
      </c>
      <c r="AU309" s="13">
        <f>IF(OR(UPPER(TRIM(AC309))="AB", AC309=901, AC309="901"), 0, IF(ISNUMBER(MATCH(UPPER(TRIM(AC309)), {"A+","A","B+","B","C","D","P"}, 0)), 2, 0))</f>
        <v>2</v>
      </c>
      <c r="AV309" s="13">
        <f t="shared" si="354"/>
        <v>39</v>
      </c>
      <c r="AW309">
        <f t="shared" si="355"/>
        <v>39</v>
      </c>
      <c r="AX309" s="1">
        <f t="shared" si="356"/>
        <v>78</v>
      </c>
      <c r="AY309" s="13">
        <f t="shared" si="360"/>
        <v>462</v>
      </c>
    </row>
    <row r="310" spans="1:51">
      <c r="A310" s="7">
        <v>5068160</v>
      </c>
      <c r="B310" s="7"/>
      <c r="C310" s="33" t="s">
        <v>89</v>
      </c>
      <c r="D310" s="1" t="s">
        <v>47</v>
      </c>
      <c r="E310" s="3">
        <v>1</v>
      </c>
      <c r="F310" s="1" t="s">
        <v>48</v>
      </c>
      <c r="G310" s="1">
        <v>2521615</v>
      </c>
      <c r="H310" s="4" t="s">
        <v>58</v>
      </c>
      <c r="I310" s="5" t="s">
        <v>50</v>
      </c>
      <c r="J310" s="1">
        <v>19</v>
      </c>
      <c r="K310" s="13" t="str">
        <f t="shared" si="357"/>
        <v>P</v>
      </c>
      <c r="L310" s="1">
        <v>29</v>
      </c>
      <c r="M310" s="13" t="str">
        <f t="shared" si="358"/>
        <v>P</v>
      </c>
      <c r="AB310" s="7" t="str">
        <f t="shared" si="349"/>
        <v>48</v>
      </c>
      <c r="AC310" s="13" t="str">
        <f t="shared" si="350"/>
        <v>O</v>
      </c>
      <c r="AD310" s="13" t="str">
        <f t="shared" si="361"/>
        <v>462</v>
      </c>
      <c r="AE310" s="1">
        <v>550</v>
      </c>
      <c r="AF310" s="15">
        <f t="shared" si="359"/>
        <v>84</v>
      </c>
      <c r="AG310" s="13" t="str">
        <f t="shared" si="359"/>
        <v>PASS</v>
      </c>
      <c r="AI310" s="1">
        <v>22</v>
      </c>
      <c r="AJ310" s="15">
        <f t="shared" si="362"/>
        <v>18</v>
      </c>
      <c r="AK310" s="16">
        <f t="shared" si="362"/>
        <v>196</v>
      </c>
      <c r="AL310" s="7">
        <f t="shared" si="362"/>
        <v>8.91</v>
      </c>
      <c r="AR310" s="7" t="str">
        <f t="shared" si="351"/>
        <v>A+</v>
      </c>
      <c r="AS310" s="8">
        <f t="shared" si="352"/>
        <v>10</v>
      </c>
      <c r="AT310" s="8">
        <f t="shared" si="353"/>
        <v>20</v>
      </c>
      <c r="AU310" s="13">
        <f>IF(OR(UPPER(TRIM(AC310))="AB", AC310=901, AC310="901"), 0, IF(ISNUMBER(MATCH(UPPER(TRIM(AC310)), {"A+","A","B+","B","C","D","P"}, 0)), 2, 0))</f>
        <v>0</v>
      </c>
      <c r="AV310" s="13">
        <f t="shared" si="354"/>
        <v>48</v>
      </c>
      <c r="AW310">
        <f t="shared" si="355"/>
        <v>48</v>
      </c>
      <c r="AX310" s="1">
        <f t="shared" si="356"/>
        <v>96</v>
      </c>
      <c r="AY310" s="13">
        <f t="shared" si="360"/>
        <v>462</v>
      </c>
    </row>
    <row r="311" spans="1:51" s="19" customFormat="1">
      <c r="A311" s="14">
        <v>5068160</v>
      </c>
      <c r="B311" s="14"/>
      <c r="C311" s="34" t="s">
        <v>89</v>
      </c>
      <c r="D311" s="18" t="s">
        <v>47</v>
      </c>
      <c r="E311" s="20">
        <v>1</v>
      </c>
      <c r="F311" s="18" t="s">
        <v>48</v>
      </c>
      <c r="G311" s="18">
        <v>2531511</v>
      </c>
      <c r="H311" s="21" t="s">
        <v>59</v>
      </c>
      <c r="I311" s="22" t="s">
        <v>50</v>
      </c>
      <c r="J311" s="18">
        <v>18</v>
      </c>
      <c r="K311" s="24" t="str">
        <f t="shared" si="357"/>
        <v>P</v>
      </c>
      <c r="L311" s="18">
        <v>26</v>
      </c>
      <c r="M311" s="24" t="str">
        <f t="shared" si="358"/>
        <v>P</v>
      </c>
      <c r="N311" s="20"/>
      <c r="O311" s="20"/>
      <c r="P311" s="20"/>
      <c r="Q311" s="20"/>
      <c r="R311" s="20"/>
      <c r="S311" s="20"/>
      <c r="T311" s="20"/>
      <c r="U311" s="20"/>
      <c r="V311" s="20"/>
      <c r="W311" s="20"/>
      <c r="X311" s="20"/>
      <c r="Y311" s="20"/>
      <c r="Z311" s="20"/>
      <c r="AA311" s="14"/>
      <c r="AB311" s="14" t="str">
        <f t="shared" si="349"/>
        <v>44</v>
      </c>
      <c r="AC311" s="24" t="str">
        <f t="shared" si="350"/>
        <v>A+</v>
      </c>
      <c r="AD311" s="24" t="str">
        <f t="shared" si="361"/>
        <v>462</v>
      </c>
      <c r="AE311" s="18">
        <v>550</v>
      </c>
      <c r="AF311" s="25">
        <f t="shared" si="359"/>
        <v>84</v>
      </c>
      <c r="AG311" s="24" t="str">
        <f t="shared" si="359"/>
        <v>PASS</v>
      </c>
      <c r="AH311" s="26"/>
      <c r="AI311" s="18">
        <v>22</v>
      </c>
      <c r="AJ311" s="25">
        <f t="shared" si="362"/>
        <v>18</v>
      </c>
      <c r="AK311" s="27">
        <f t="shared" si="362"/>
        <v>196</v>
      </c>
      <c r="AL311" s="14">
        <f t="shared" si="362"/>
        <v>8.91</v>
      </c>
      <c r="AM311" s="20"/>
      <c r="AN311" s="20"/>
      <c r="AO311" s="20"/>
      <c r="AP311" s="20"/>
      <c r="AQ311" s="18"/>
      <c r="AR311" s="14" t="str">
        <f t="shared" si="351"/>
        <v>A+</v>
      </c>
      <c r="AS311" s="28">
        <f t="shared" si="352"/>
        <v>9</v>
      </c>
      <c r="AT311" s="28">
        <f t="shared" si="353"/>
        <v>18</v>
      </c>
      <c r="AU311" s="24">
        <f>IF(OR(UPPER(TRIM(AC311))="AB", AC311=901, AC311="901"), 0, IF(ISNUMBER(MATCH(UPPER(TRIM(AC311)), {"A+","A","B+","B","C","D","P"}, 0)), 2, 0))</f>
        <v>2</v>
      </c>
      <c r="AV311" s="24">
        <f t="shared" si="354"/>
        <v>44</v>
      </c>
      <c r="AW311" s="19">
        <f t="shared" si="355"/>
        <v>44</v>
      </c>
      <c r="AX311" s="18">
        <f t="shared" si="356"/>
        <v>88</v>
      </c>
      <c r="AY311" s="24">
        <f t="shared" si="360"/>
        <v>462</v>
      </c>
    </row>
    <row r="312" spans="1:51" s="19" customFormat="1">
      <c r="A312" s="14">
        <v>5068160</v>
      </c>
      <c r="B312" s="14"/>
      <c r="C312" s="34" t="s">
        <v>89</v>
      </c>
      <c r="D312" s="18" t="s">
        <v>47</v>
      </c>
      <c r="E312" s="20">
        <v>1</v>
      </c>
      <c r="F312" s="18" t="s">
        <v>48</v>
      </c>
      <c r="G312" s="18">
        <v>2541515</v>
      </c>
      <c r="H312" s="21" t="s">
        <v>60</v>
      </c>
      <c r="I312" s="22" t="s">
        <v>50</v>
      </c>
      <c r="J312" s="18">
        <v>19</v>
      </c>
      <c r="K312" s="24" t="str">
        <f t="shared" si="357"/>
        <v>P</v>
      </c>
      <c r="L312" s="18">
        <v>24</v>
      </c>
      <c r="M312" s="24" t="str">
        <f t="shared" si="358"/>
        <v>P</v>
      </c>
      <c r="N312" s="20"/>
      <c r="O312" s="20"/>
      <c r="P312" s="20"/>
      <c r="Q312" s="20"/>
      <c r="R312" s="20"/>
      <c r="S312" s="20"/>
      <c r="T312" s="20"/>
      <c r="U312" s="20"/>
      <c r="V312" s="20"/>
      <c r="W312" s="20"/>
      <c r="X312" s="20"/>
      <c r="Y312" s="20"/>
      <c r="Z312" s="20"/>
      <c r="AA312" s="14"/>
      <c r="AB312" s="14" t="str">
        <f t="shared" si="349"/>
        <v>43</v>
      </c>
      <c r="AC312" s="24" t="str">
        <f t="shared" si="350"/>
        <v>A+</v>
      </c>
      <c r="AD312" s="24" t="str">
        <f t="shared" si="361"/>
        <v>462</v>
      </c>
      <c r="AE312" s="18">
        <v>550</v>
      </c>
      <c r="AF312" s="25">
        <f t="shared" si="359"/>
        <v>84</v>
      </c>
      <c r="AG312" s="24" t="str">
        <f t="shared" si="359"/>
        <v>PASS</v>
      </c>
      <c r="AH312" s="26"/>
      <c r="AI312" s="18">
        <v>22</v>
      </c>
      <c r="AJ312" s="25">
        <f t="shared" si="362"/>
        <v>18</v>
      </c>
      <c r="AK312" s="27">
        <f t="shared" si="362"/>
        <v>196</v>
      </c>
      <c r="AL312" s="14">
        <f t="shared" si="362"/>
        <v>8.91</v>
      </c>
      <c r="AM312" s="20"/>
      <c r="AN312" s="20"/>
      <c r="AO312" s="20"/>
      <c r="AP312" s="20"/>
      <c r="AQ312" s="18"/>
      <c r="AR312" s="14" t="str">
        <f t="shared" si="351"/>
        <v>A+</v>
      </c>
      <c r="AS312" s="28">
        <f t="shared" si="352"/>
        <v>9</v>
      </c>
      <c r="AT312" s="28">
        <f t="shared" si="353"/>
        <v>18</v>
      </c>
      <c r="AU312" s="24">
        <f>IF(OR(UPPER(TRIM(AC312))="AB", AC312=901, AC312="901"), 0, IF(ISNUMBER(MATCH(UPPER(TRIM(AC312)), {"A+","A","B+","B","C","D","P"}, 0)), 2, 0))</f>
        <v>2</v>
      </c>
      <c r="AV312" s="24">
        <f t="shared" si="354"/>
        <v>43</v>
      </c>
      <c r="AW312" s="19">
        <f t="shared" si="355"/>
        <v>43</v>
      </c>
      <c r="AX312" s="18">
        <f t="shared" si="356"/>
        <v>86</v>
      </c>
      <c r="AY312" s="24">
        <f t="shared" si="360"/>
        <v>462</v>
      </c>
    </row>
    <row r="314" spans="1:51">
      <c r="A314" s="7">
        <v>5409636</v>
      </c>
      <c r="B314" s="7"/>
      <c r="C314" s="33" t="s">
        <v>90</v>
      </c>
      <c r="D314" s="1" t="s">
        <v>47</v>
      </c>
      <c r="E314" s="3">
        <v>1</v>
      </c>
      <c r="F314" s="1" t="s">
        <v>48</v>
      </c>
      <c r="G314" s="1">
        <v>1011312</v>
      </c>
      <c r="H314" s="2" t="s">
        <v>49</v>
      </c>
      <c r="I314" s="5" t="s">
        <v>50</v>
      </c>
      <c r="J314" s="6">
        <v>12</v>
      </c>
      <c r="K314" s="13" t="str">
        <f>IF(OR(UPPER(TRIM(J314))="AB",J314=901,J314="901"),"F",IF(J314&gt;=8,"P","F"))</f>
        <v>P</v>
      </c>
      <c r="L314" s="1">
        <v>15</v>
      </c>
      <c r="M314" s="13" t="str">
        <f>IF(OR(UPPER(TRIM(L314))="AB",L314=901,L314="901"),"F",IF(L314&gt;=8,"P","F"))</f>
        <v>P</v>
      </c>
      <c r="N314" s="13"/>
      <c r="O314" s="13"/>
      <c r="P314" s="13"/>
      <c r="Q314" s="13"/>
      <c r="R314" s="13"/>
      <c r="S314" s="13"/>
      <c r="T314" s="13"/>
      <c r="U314" s="13"/>
      <c r="V314" s="13"/>
      <c r="W314" s="13"/>
      <c r="X314" s="13"/>
      <c r="Y314" s="13"/>
      <c r="Z314" s="13"/>
      <c r="AB314" s="7" t="str">
        <f t="shared" ref="AB314:AB324" si="363">AV314 &amp; IF(AA314&lt;&gt;"", " @ " &amp; AA314, "")</f>
        <v>27</v>
      </c>
      <c r="AC314" s="13" t="str">
        <f t="shared" ref="AC314:AC324" si="364">IF(AX314&gt;=90,"O",
IF(AX314&gt;=80,"A+",
IF(AX314&gt;=70,"A",
IF(AX314&gt;=60,"B+",
IF(AX314&gt;=55,"B",
IF(AX314&gt;=50,"C",
IF(AX314&gt;=40,"D","F")))))))</f>
        <v>C</v>
      </c>
      <c r="AD314" s="13" t="str">
        <f>SUM(AV314:AV324) &amp; IF(SUM(AA314:AA324)&gt;0, " @ " &amp; SUM(AA314:AA324), "")</f>
        <v>282</v>
      </c>
      <c r="AE314" s="1">
        <v>550</v>
      </c>
      <c r="AF314" s="15">
        <f>AY314/AE314*100</f>
        <v>51.272727272727266</v>
      </c>
      <c r="AG314" s="13" t="str" cm="1">
        <f t="array" ref="AG314">IF(
  SUMPRODUCT(--(IFERROR(VALUE(J314:J324),9999)&lt;8))
  + SUMPRODUCT(--(IFERROR(VALUE(L314:L324),9999)&lt;12))
  + COUNTIF(J314:J324,"AB") + COUNTIF(L314:L324,"AB")
  + COUNTIF(J314:J324,901) + COUNTIF(L314:L324,901) &gt; 0,
  "ATKT",
  "PASS"
)</f>
        <v>PASS</v>
      </c>
      <c r="AI314" s="1">
        <v>22</v>
      </c>
      <c r="AJ314" s="15">
        <f>SUM(AU314:AU324)</f>
        <v>22</v>
      </c>
      <c r="AK314" s="16">
        <f>SUM(AT314:AT324)</f>
        <v>108</v>
      </c>
      <c r="AL314" s="7">
        <f>IF(UPPER(TRIM(AG314))="ATKT",0,ROUND( (SUM(AT314:AT324) /22), 2))</f>
        <v>4.91</v>
      </c>
      <c r="AR314" s="7" t="str">
        <f t="shared" ref="AR314:AR324" si="365">IF(AL314&gt;=9,"O", IF(AL314&gt;=8,"A+", IF(AL314&gt;=7,"A", IF(AL314&gt;=6,"B+", IF(AL314&gt;=5.5,"B", IF(AL314&gt;=5,"C", IF(AL314&gt;=4,"D","F")))))))</f>
        <v>D</v>
      </c>
      <c r="AS314" s="8">
        <f t="shared" ref="AS314:AS324" si="366">IF(AX314&gt;=90,10,
IF(AX314&gt;=80,9,
IF(AX314&gt;=70,8,
IF(AX314&gt;=60,7,
IF(AX314&gt;=55,6,
IF(AX314&gt;=50,5,
IF(AX314&gt;=40,4,0)))))))</f>
        <v>5</v>
      </c>
      <c r="AT314" s="8">
        <f t="shared" ref="AT314:AT324" si="367">AS314*I314</f>
        <v>10</v>
      </c>
      <c r="AU314" s="13">
        <f>IF(OR(UPPER(TRIM(AC314))="AB", AC314=901, AC314="901"), 0, IF(ISNUMBER(MATCH(UPPER(TRIM(AC314)), {"A+","A","B+","B","C","D","P"}, 0)), 2, 0))</f>
        <v>2</v>
      </c>
      <c r="AV314" s="13">
        <f t="shared" ref="AV314:AV324" si="368">SUM(
IF(OR(UPPER(TRIM(J314))="AB",J314=901,J314="901"),0,IFERROR(VALUE(J314),0)),
IF(OR(UPPER(TRIM(L314))="AB",L314=901,L314="901"),0,IFERROR(VALUE(L314),0)),
IF(OR(UPPER(TRIM(N314))="AB",N314=901,N314="901"),0,IFERROR(VALUE(N314),0))
)</f>
        <v>27</v>
      </c>
      <c r="AW314">
        <f t="shared" ref="AW314:AW324" si="369">AA314+AV314</f>
        <v>27</v>
      </c>
      <c r="AX314" s="1">
        <f t="shared" ref="AX314:AX324" si="370">(AW314 / 50) * 100</f>
        <v>54</v>
      </c>
      <c r="AY314" s="13">
        <f>SUM(AW314:AW324)</f>
        <v>282</v>
      </c>
    </row>
    <row r="315" spans="1:51">
      <c r="A315" s="7">
        <v>5409636</v>
      </c>
      <c r="B315" s="7"/>
      <c r="C315" s="33" t="s">
        <v>90</v>
      </c>
      <c r="D315" s="1" t="s">
        <v>47</v>
      </c>
      <c r="E315" s="3">
        <v>1</v>
      </c>
      <c r="F315" s="1" t="s">
        <v>48</v>
      </c>
      <c r="G315" s="1">
        <v>1171312</v>
      </c>
      <c r="H315" s="2" t="s">
        <v>51</v>
      </c>
      <c r="I315" s="5" t="s">
        <v>50</v>
      </c>
      <c r="J315" s="1">
        <v>18</v>
      </c>
      <c r="K315" s="13" t="str">
        <f t="shared" ref="K315:K324" si="371">IF(OR(UPPER(TRIM(J315))="AB",J315=901,J315="901"),"F",IF(J315&gt;=8,"P","F"))</f>
        <v>P</v>
      </c>
      <c r="L315" s="1">
        <v>12</v>
      </c>
      <c r="M315" s="13" t="str">
        <f t="shared" ref="M315:M324" si="372">IF(OR(UPPER(TRIM(L315))="AB",L315=901,L315="901"),"F",IF(L315&gt;=8,"P","F"))</f>
        <v>P</v>
      </c>
      <c r="AB315" s="7" t="str">
        <f t="shared" si="363"/>
        <v>30</v>
      </c>
      <c r="AC315" s="13" t="str">
        <f t="shared" si="364"/>
        <v>B+</v>
      </c>
      <c r="AD315" s="13" t="str">
        <f>AD314</f>
        <v>282</v>
      </c>
      <c r="AE315" s="1">
        <v>550</v>
      </c>
      <c r="AF315" s="15">
        <f t="shared" ref="AF315:AG324" si="373">AF314</f>
        <v>51.272727272727266</v>
      </c>
      <c r="AG315" s="13" t="str">
        <f t="shared" si="373"/>
        <v>PASS</v>
      </c>
      <c r="AI315" s="1">
        <v>22</v>
      </c>
      <c r="AJ315" s="15">
        <f>AJ314</f>
        <v>22</v>
      </c>
      <c r="AK315" s="16">
        <f>AK314</f>
        <v>108</v>
      </c>
      <c r="AL315" s="7">
        <f>AL314</f>
        <v>4.91</v>
      </c>
      <c r="AR315" s="7" t="str">
        <f t="shared" si="365"/>
        <v>D</v>
      </c>
      <c r="AS315" s="8">
        <f t="shared" si="366"/>
        <v>7</v>
      </c>
      <c r="AT315" s="8">
        <f t="shared" si="367"/>
        <v>14</v>
      </c>
      <c r="AU315" s="13">
        <f>IF(OR(UPPER(TRIM(AC315))="AB", AC315=901, AC315="901"), 0, IF(ISNUMBER(MATCH(UPPER(TRIM(AC315)), {"A+","A","B+","B","C","D","P"}, 0)), 2, 0))</f>
        <v>2</v>
      </c>
      <c r="AV315" s="13">
        <f t="shared" si="368"/>
        <v>30</v>
      </c>
      <c r="AW315">
        <f t="shared" si="369"/>
        <v>30</v>
      </c>
      <c r="AX315" s="1">
        <f t="shared" si="370"/>
        <v>60</v>
      </c>
      <c r="AY315" s="13">
        <f t="shared" ref="AY315:AY324" si="374">AY314</f>
        <v>282</v>
      </c>
    </row>
    <row r="316" spans="1:51">
      <c r="A316" s="7">
        <v>5409636</v>
      </c>
      <c r="B316" s="7"/>
      <c r="C316" s="33" t="s">
        <v>90</v>
      </c>
      <c r="D316" s="1" t="s">
        <v>47</v>
      </c>
      <c r="E316" s="3">
        <v>1</v>
      </c>
      <c r="F316" s="1" t="s">
        <v>48</v>
      </c>
      <c r="G316" s="1">
        <v>1461111</v>
      </c>
      <c r="H316" s="2" t="s">
        <v>52</v>
      </c>
      <c r="I316" s="5" t="s">
        <v>50</v>
      </c>
      <c r="J316" s="1">
        <v>9</v>
      </c>
      <c r="K316" s="13" t="str">
        <f t="shared" si="371"/>
        <v>P</v>
      </c>
      <c r="L316" s="1">
        <v>12</v>
      </c>
      <c r="M316" s="13" t="str">
        <f t="shared" si="372"/>
        <v>P</v>
      </c>
      <c r="AB316" s="7" t="str">
        <f t="shared" si="363"/>
        <v>21</v>
      </c>
      <c r="AC316" s="13" t="str">
        <f t="shared" si="364"/>
        <v>D</v>
      </c>
      <c r="AD316" s="13" t="str">
        <f t="shared" ref="AD316:AD324" si="375">AD315</f>
        <v>282</v>
      </c>
      <c r="AE316" s="1">
        <v>550</v>
      </c>
      <c r="AF316" s="15">
        <f t="shared" si="373"/>
        <v>51.272727272727266</v>
      </c>
      <c r="AG316" s="13" t="str">
        <f t="shared" si="373"/>
        <v>PASS</v>
      </c>
      <c r="AI316" s="1">
        <v>22</v>
      </c>
      <c r="AJ316" s="15">
        <f t="shared" ref="AJ316:AL324" si="376">AJ315</f>
        <v>22</v>
      </c>
      <c r="AK316" s="16">
        <f t="shared" si="376"/>
        <v>108</v>
      </c>
      <c r="AL316" s="7">
        <f t="shared" si="376"/>
        <v>4.91</v>
      </c>
      <c r="AR316" s="7" t="str">
        <f t="shared" si="365"/>
        <v>D</v>
      </c>
      <c r="AS316" s="8">
        <f t="shared" si="366"/>
        <v>4</v>
      </c>
      <c r="AT316" s="8">
        <f t="shared" si="367"/>
        <v>8</v>
      </c>
      <c r="AU316" s="13">
        <f>IF(OR(UPPER(TRIM(AC316))="AB", AC316=901, AC316="901"), 0, IF(ISNUMBER(MATCH(UPPER(TRIM(AC316)), {"A+","A","B+","B","C","D","P"}, 0)), 2, 0))</f>
        <v>2</v>
      </c>
      <c r="AV316" s="13">
        <f t="shared" si="368"/>
        <v>21</v>
      </c>
      <c r="AW316">
        <f t="shared" si="369"/>
        <v>21</v>
      </c>
      <c r="AX316" s="1">
        <f t="shared" si="370"/>
        <v>42</v>
      </c>
      <c r="AY316" s="13">
        <f t="shared" si="374"/>
        <v>282</v>
      </c>
    </row>
    <row r="317" spans="1:51">
      <c r="A317" s="7">
        <v>5409636</v>
      </c>
      <c r="B317" s="7"/>
      <c r="C317" s="33" t="s">
        <v>90</v>
      </c>
      <c r="D317" s="1" t="s">
        <v>47</v>
      </c>
      <c r="E317" s="3">
        <v>1</v>
      </c>
      <c r="F317" s="1" t="s">
        <v>48</v>
      </c>
      <c r="G317" s="1">
        <v>1461112</v>
      </c>
      <c r="H317" s="2" t="s">
        <v>53</v>
      </c>
      <c r="I317" s="5" t="s">
        <v>50</v>
      </c>
      <c r="J317" s="1">
        <v>9</v>
      </c>
      <c r="K317" s="13" t="str">
        <f t="shared" si="371"/>
        <v>P</v>
      </c>
      <c r="L317" s="1">
        <v>15</v>
      </c>
      <c r="M317" s="13" t="str">
        <f t="shared" si="372"/>
        <v>P</v>
      </c>
      <c r="AB317" s="7" t="str">
        <f t="shared" si="363"/>
        <v>24</v>
      </c>
      <c r="AC317" s="13" t="str">
        <f t="shared" si="364"/>
        <v>D</v>
      </c>
      <c r="AD317" s="13" t="str">
        <f t="shared" si="375"/>
        <v>282</v>
      </c>
      <c r="AE317" s="1">
        <v>550</v>
      </c>
      <c r="AF317" s="15">
        <f t="shared" si="373"/>
        <v>51.272727272727266</v>
      </c>
      <c r="AG317" s="13" t="str">
        <f t="shared" si="373"/>
        <v>PASS</v>
      </c>
      <c r="AI317" s="1">
        <v>22</v>
      </c>
      <c r="AJ317" s="15">
        <f t="shared" si="376"/>
        <v>22</v>
      </c>
      <c r="AK317" s="16">
        <f t="shared" si="376"/>
        <v>108</v>
      </c>
      <c r="AL317" s="7">
        <f t="shared" si="376"/>
        <v>4.91</v>
      </c>
      <c r="AR317" s="7" t="str">
        <f t="shared" si="365"/>
        <v>D</v>
      </c>
      <c r="AS317" s="8">
        <f t="shared" si="366"/>
        <v>4</v>
      </c>
      <c r="AT317" s="8">
        <f t="shared" si="367"/>
        <v>8</v>
      </c>
      <c r="AU317" s="13">
        <f>IF(OR(UPPER(TRIM(AC317))="AB", AC317=901, AC317="901"), 0, IF(ISNUMBER(MATCH(UPPER(TRIM(AC317)), {"A+","A","B+","B","C","D","P"}, 0)), 2, 0))</f>
        <v>2</v>
      </c>
      <c r="AV317" s="13">
        <f t="shared" si="368"/>
        <v>24</v>
      </c>
      <c r="AW317">
        <f t="shared" si="369"/>
        <v>24</v>
      </c>
      <c r="AX317" s="1">
        <f t="shared" si="370"/>
        <v>48</v>
      </c>
      <c r="AY317" s="13">
        <f t="shared" si="374"/>
        <v>282</v>
      </c>
    </row>
    <row r="318" spans="1:51">
      <c r="A318" s="7">
        <v>5409636</v>
      </c>
      <c r="B318" s="7"/>
      <c r="C318" s="33" t="s">
        <v>90</v>
      </c>
      <c r="D318" s="1" t="s">
        <v>47</v>
      </c>
      <c r="E318" s="3">
        <v>1</v>
      </c>
      <c r="F318" s="1" t="s">
        <v>48</v>
      </c>
      <c r="G318" s="1">
        <v>1461113</v>
      </c>
      <c r="H318" s="2" t="s">
        <v>54</v>
      </c>
      <c r="I318" s="5" t="s">
        <v>50</v>
      </c>
      <c r="J318" s="1">
        <v>19</v>
      </c>
      <c r="K318" s="13" t="str">
        <f t="shared" si="371"/>
        <v>P</v>
      </c>
      <c r="L318" s="1">
        <v>15</v>
      </c>
      <c r="M318" s="13" t="str">
        <f t="shared" si="372"/>
        <v>P</v>
      </c>
      <c r="AB318" s="7" t="str">
        <f t="shared" si="363"/>
        <v>34</v>
      </c>
      <c r="AC318" s="13" t="str">
        <f t="shared" si="364"/>
        <v>B+</v>
      </c>
      <c r="AD318" s="13" t="str">
        <f t="shared" si="375"/>
        <v>282</v>
      </c>
      <c r="AE318" s="1">
        <v>550</v>
      </c>
      <c r="AF318" s="15">
        <f t="shared" si="373"/>
        <v>51.272727272727266</v>
      </c>
      <c r="AG318" s="13" t="str">
        <f t="shared" si="373"/>
        <v>PASS</v>
      </c>
      <c r="AI318" s="1">
        <v>22</v>
      </c>
      <c r="AJ318" s="15">
        <f t="shared" si="376"/>
        <v>22</v>
      </c>
      <c r="AK318" s="16">
        <f t="shared" si="376"/>
        <v>108</v>
      </c>
      <c r="AL318" s="7">
        <f t="shared" si="376"/>
        <v>4.91</v>
      </c>
      <c r="AR318" s="7" t="str">
        <f t="shared" si="365"/>
        <v>D</v>
      </c>
      <c r="AS318" s="8">
        <f t="shared" si="366"/>
        <v>7</v>
      </c>
      <c r="AT318" s="8">
        <f t="shared" si="367"/>
        <v>14</v>
      </c>
      <c r="AU318" s="13">
        <f>IF(OR(UPPER(TRIM(AC318))="AB", AC318=901, AC318="901"), 0, IF(ISNUMBER(MATCH(UPPER(TRIM(AC318)), {"A+","A","B+","B","C","D","P"}, 0)), 2, 0))</f>
        <v>2</v>
      </c>
      <c r="AV318" s="13">
        <f t="shared" si="368"/>
        <v>34</v>
      </c>
      <c r="AW318">
        <f t="shared" si="369"/>
        <v>34</v>
      </c>
      <c r="AX318" s="1">
        <f t="shared" si="370"/>
        <v>68</v>
      </c>
      <c r="AY318" s="13">
        <f t="shared" si="374"/>
        <v>282</v>
      </c>
    </row>
    <row r="319" spans="1:51">
      <c r="A319" s="7">
        <v>5409636</v>
      </c>
      <c r="B319" s="7"/>
      <c r="C319" s="33" t="s">
        <v>90</v>
      </c>
      <c r="D319" s="1" t="s">
        <v>47</v>
      </c>
      <c r="E319" s="3">
        <v>1</v>
      </c>
      <c r="F319" s="1" t="s">
        <v>48</v>
      </c>
      <c r="G319" s="1">
        <v>1461411</v>
      </c>
      <c r="H319" s="2" t="s">
        <v>55</v>
      </c>
      <c r="I319" s="5" t="s">
        <v>50</v>
      </c>
      <c r="J319" s="1">
        <v>12</v>
      </c>
      <c r="K319" s="13" t="str">
        <f t="shared" si="371"/>
        <v>P</v>
      </c>
      <c r="L319" s="1">
        <v>12</v>
      </c>
      <c r="M319" s="13" t="str">
        <f t="shared" si="372"/>
        <v>P</v>
      </c>
      <c r="AB319" s="7" t="str">
        <f t="shared" si="363"/>
        <v>24</v>
      </c>
      <c r="AC319" s="13" t="str">
        <f t="shared" si="364"/>
        <v>D</v>
      </c>
      <c r="AD319" s="13" t="str">
        <f t="shared" si="375"/>
        <v>282</v>
      </c>
      <c r="AE319" s="1">
        <v>550</v>
      </c>
      <c r="AF319" s="15">
        <f t="shared" si="373"/>
        <v>51.272727272727266</v>
      </c>
      <c r="AG319" s="13" t="str">
        <f t="shared" si="373"/>
        <v>PASS</v>
      </c>
      <c r="AI319" s="1">
        <v>22</v>
      </c>
      <c r="AJ319" s="15">
        <f t="shared" si="376"/>
        <v>22</v>
      </c>
      <c r="AK319" s="16">
        <f t="shared" si="376"/>
        <v>108</v>
      </c>
      <c r="AL319" s="7">
        <f t="shared" si="376"/>
        <v>4.91</v>
      </c>
      <c r="AR319" s="7" t="str">
        <f t="shared" si="365"/>
        <v>D</v>
      </c>
      <c r="AS319" s="8">
        <f t="shared" si="366"/>
        <v>4</v>
      </c>
      <c r="AT319" s="8">
        <f t="shared" si="367"/>
        <v>8</v>
      </c>
      <c r="AU319" s="13">
        <f>IF(OR(UPPER(TRIM(AC319))="AB", AC319=901, AC319="901"), 0, IF(ISNUMBER(MATCH(UPPER(TRIM(AC319)), {"A+","A","B+","B","C","D","P"}, 0)), 2, 0))</f>
        <v>2</v>
      </c>
      <c r="AV319" s="13">
        <f t="shared" si="368"/>
        <v>24</v>
      </c>
      <c r="AW319">
        <f t="shared" si="369"/>
        <v>24</v>
      </c>
      <c r="AX319" s="1">
        <f t="shared" si="370"/>
        <v>48</v>
      </c>
      <c r="AY319" s="13">
        <f t="shared" si="374"/>
        <v>282</v>
      </c>
    </row>
    <row r="320" spans="1:51">
      <c r="A320" s="7">
        <v>5409636</v>
      </c>
      <c r="B320" s="7"/>
      <c r="C320" s="33" t="s">
        <v>90</v>
      </c>
      <c r="D320" s="1" t="s">
        <v>47</v>
      </c>
      <c r="E320" s="3">
        <v>1</v>
      </c>
      <c r="F320" s="1" t="s">
        <v>48</v>
      </c>
      <c r="G320" s="1">
        <v>1461412</v>
      </c>
      <c r="H320" s="2" t="s">
        <v>56</v>
      </c>
      <c r="I320" s="5" t="s">
        <v>50</v>
      </c>
      <c r="J320" s="1">
        <v>9</v>
      </c>
      <c r="K320" s="13" t="str">
        <f t="shared" si="371"/>
        <v>P</v>
      </c>
      <c r="L320" s="1">
        <v>12</v>
      </c>
      <c r="M320" s="13" t="str">
        <f t="shared" si="372"/>
        <v>P</v>
      </c>
      <c r="AB320" s="7" t="str">
        <f t="shared" si="363"/>
        <v>21</v>
      </c>
      <c r="AC320" s="13" t="str">
        <f t="shared" si="364"/>
        <v>D</v>
      </c>
      <c r="AD320" s="13" t="str">
        <f t="shared" si="375"/>
        <v>282</v>
      </c>
      <c r="AE320" s="1">
        <v>550</v>
      </c>
      <c r="AF320" s="15">
        <f t="shared" si="373"/>
        <v>51.272727272727266</v>
      </c>
      <c r="AG320" s="13" t="str">
        <f t="shared" si="373"/>
        <v>PASS</v>
      </c>
      <c r="AI320" s="1">
        <v>22</v>
      </c>
      <c r="AJ320" s="15">
        <f t="shared" si="376"/>
        <v>22</v>
      </c>
      <c r="AK320" s="16">
        <f t="shared" si="376"/>
        <v>108</v>
      </c>
      <c r="AL320" s="7">
        <f t="shared" si="376"/>
        <v>4.91</v>
      </c>
      <c r="AR320" s="7" t="str">
        <f t="shared" si="365"/>
        <v>D</v>
      </c>
      <c r="AS320" s="8">
        <f t="shared" si="366"/>
        <v>4</v>
      </c>
      <c r="AT320" s="8">
        <f t="shared" si="367"/>
        <v>8</v>
      </c>
      <c r="AU320" s="13">
        <f>IF(OR(UPPER(TRIM(AC320))="AB", AC320=901, AC320="901"), 0, IF(ISNUMBER(MATCH(UPPER(TRIM(AC320)), {"A+","A","B+","B","C","D","P"}, 0)), 2, 0))</f>
        <v>2</v>
      </c>
      <c r="AV320" s="13">
        <f t="shared" si="368"/>
        <v>21</v>
      </c>
      <c r="AW320">
        <f t="shared" si="369"/>
        <v>21</v>
      </c>
      <c r="AX320" s="1">
        <f t="shared" si="370"/>
        <v>42</v>
      </c>
      <c r="AY320" s="13">
        <f t="shared" si="374"/>
        <v>282</v>
      </c>
    </row>
    <row r="321" spans="1:51">
      <c r="A321" s="7">
        <v>5409636</v>
      </c>
      <c r="B321" s="7"/>
      <c r="C321" s="33" t="s">
        <v>90</v>
      </c>
      <c r="D321" s="1" t="s">
        <v>47</v>
      </c>
      <c r="E321" s="3">
        <v>1</v>
      </c>
      <c r="F321" s="1" t="s">
        <v>48</v>
      </c>
      <c r="G321" s="1">
        <v>2511515</v>
      </c>
      <c r="H321" s="2" t="s">
        <v>57</v>
      </c>
      <c r="I321" s="5" t="s">
        <v>50</v>
      </c>
      <c r="J321" s="1">
        <v>9</v>
      </c>
      <c r="K321" s="13" t="str">
        <f t="shared" si="371"/>
        <v>P</v>
      </c>
      <c r="L321" s="1">
        <v>12</v>
      </c>
      <c r="M321" s="13" t="str">
        <f t="shared" si="372"/>
        <v>P</v>
      </c>
      <c r="AB321" s="7" t="str">
        <f t="shared" si="363"/>
        <v>21</v>
      </c>
      <c r="AC321" s="13" t="str">
        <f t="shared" si="364"/>
        <v>D</v>
      </c>
      <c r="AD321" s="13" t="str">
        <f t="shared" si="375"/>
        <v>282</v>
      </c>
      <c r="AE321" s="1">
        <v>550</v>
      </c>
      <c r="AF321" s="15">
        <f t="shared" si="373"/>
        <v>51.272727272727266</v>
      </c>
      <c r="AG321" s="13" t="str">
        <f t="shared" si="373"/>
        <v>PASS</v>
      </c>
      <c r="AI321" s="1">
        <v>22</v>
      </c>
      <c r="AJ321" s="15">
        <f t="shared" si="376"/>
        <v>22</v>
      </c>
      <c r="AK321" s="16">
        <f t="shared" si="376"/>
        <v>108</v>
      </c>
      <c r="AL321" s="7">
        <f t="shared" si="376"/>
        <v>4.91</v>
      </c>
      <c r="AR321" s="7" t="str">
        <f t="shared" si="365"/>
        <v>D</v>
      </c>
      <c r="AS321" s="8">
        <f t="shared" si="366"/>
        <v>4</v>
      </c>
      <c r="AT321" s="8">
        <f t="shared" si="367"/>
        <v>8</v>
      </c>
      <c r="AU321" s="13">
        <f>IF(OR(UPPER(TRIM(AC321))="AB", AC321=901, AC321="901"), 0, IF(ISNUMBER(MATCH(UPPER(TRIM(AC321)), {"A+","A","B+","B","C","D","P"}, 0)), 2, 0))</f>
        <v>2</v>
      </c>
      <c r="AV321" s="13">
        <f t="shared" si="368"/>
        <v>21</v>
      </c>
      <c r="AW321">
        <f t="shared" si="369"/>
        <v>21</v>
      </c>
      <c r="AX321" s="1">
        <f t="shared" si="370"/>
        <v>42</v>
      </c>
      <c r="AY321" s="13">
        <f t="shared" si="374"/>
        <v>282</v>
      </c>
    </row>
    <row r="322" spans="1:51">
      <c r="A322" s="7">
        <v>5409636</v>
      </c>
      <c r="B322" s="7"/>
      <c r="C322" s="33" t="s">
        <v>90</v>
      </c>
      <c r="D322" s="1" t="s">
        <v>47</v>
      </c>
      <c r="E322" s="3">
        <v>1</v>
      </c>
      <c r="F322" s="1" t="s">
        <v>48</v>
      </c>
      <c r="G322" s="1">
        <v>2521615</v>
      </c>
      <c r="H322" s="4" t="s">
        <v>58</v>
      </c>
      <c r="I322" s="5" t="s">
        <v>50</v>
      </c>
      <c r="J322" s="1">
        <v>19</v>
      </c>
      <c r="K322" s="13" t="str">
        <f t="shared" si="371"/>
        <v>P</v>
      </c>
      <c r="L322" s="1">
        <v>13</v>
      </c>
      <c r="M322" s="13" t="str">
        <f t="shared" si="372"/>
        <v>P</v>
      </c>
      <c r="AB322" s="7" t="str">
        <f t="shared" si="363"/>
        <v>32</v>
      </c>
      <c r="AC322" s="13" t="str">
        <f t="shared" si="364"/>
        <v>B+</v>
      </c>
      <c r="AD322" s="13" t="str">
        <f t="shared" si="375"/>
        <v>282</v>
      </c>
      <c r="AE322" s="1">
        <v>550</v>
      </c>
      <c r="AF322" s="15">
        <f t="shared" si="373"/>
        <v>51.272727272727266</v>
      </c>
      <c r="AG322" s="13" t="str">
        <f t="shared" si="373"/>
        <v>PASS</v>
      </c>
      <c r="AI322" s="1">
        <v>22</v>
      </c>
      <c r="AJ322" s="15">
        <f t="shared" si="376"/>
        <v>22</v>
      </c>
      <c r="AK322" s="16">
        <f t="shared" si="376"/>
        <v>108</v>
      </c>
      <c r="AL322" s="7">
        <f t="shared" si="376"/>
        <v>4.91</v>
      </c>
      <c r="AR322" s="7" t="str">
        <f t="shared" si="365"/>
        <v>D</v>
      </c>
      <c r="AS322" s="8">
        <f t="shared" si="366"/>
        <v>7</v>
      </c>
      <c r="AT322" s="8">
        <f t="shared" si="367"/>
        <v>14</v>
      </c>
      <c r="AU322" s="13">
        <f>IF(OR(UPPER(TRIM(AC322))="AB", AC322=901, AC322="901"), 0, IF(ISNUMBER(MATCH(UPPER(TRIM(AC322)), {"A+","A","B+","B","C","D","P"}, 0)), 2, 0))</f>
        <v>2</v>
      </c>
      <c r="AV322" s="13">
        <f t="shared" si="368"/>
        <v>32</v>
      </c>
      <c r="AW322">
        <f t="shared" si="369"/>
        <v>32</v>
      </c>
      <c r="AX322" s="1">
        <f t="shared" si="370"/>
        <v>64</v>
      </c>
      <c r="AY322" s="13">
        <f t="shared" si="374"/>
        <v>282</v>
      </c>
    </row>
    <row r="323" spans="1:51">
      <c r="A323" s="7">
        <v>5409636</v>
      </c>
      <c r="B323" s="7"/>
      <c r="C323" s="33" t="s">
        <v>90</v>
      </c>
      <c r="D323" s="1" t="s">
        <v>47</v>
      </c>
      <c r="E323" s="3">
        <v>1</v>
      </c>
      <c r="F323" s="1" t="s">
        <v>48</v>
      </c>
      <c r="G323" s="1">
        <v>2531511</v>
      </c>
      <c r="H323" s="2" t="s">
        <v>59</v>
      </c>
      <c r="I323" s="5" t="s">
        <v>50</v>
      </c>
      <c r="J323" s="1">
        <v>12</v>
      </c>
      <c r="K323" s="13" t="str">
        <f t="shared" si="371"/>
        <v>P</v>
      </c>
      <c r="L323" s="1">
        <v>12</v>
      </c>
      <c r="M323" s="13" t="str">
        <f t="shared" si="372"/>
        <v>P</v>
      </c>
      <c r="AB323" s="7" t="str">
        <f t="shared" si="363"/>
        <v>24</v>
      </c>
      <c r="AC323" s="13" t="str">
        <f t="shared" si="364"/>
        <v>D</v>
      </c>
      <c r="AD323" s="13" t="str">
        <f t="shared" si="375"/>
        <v>282</v>
      </c>
      <c r="AE323" s="1">
        <v>550</v>
      </c>
      <c r="AF323" s="15">
        <f t="shared" si="373"/>
        <v>51.272727272727266</v>
      </c>
      <c r="AG323" s="13" t="str">
        <f t="shared" si="373"/>
        <v>PASS</v>
      </c>
      <c r="AI323" s="1">
        <v>22</v>
      </c>
      <c r="AJ323" s="15">
        <f t="shared" si="376"/>
        <v>22</v>
      </c>
      <c r="AK323" s="16">
        <f t="shared" si="376"/>
        <v>108</v>
      </c>
      <c r="AL323" s="7">
        <f t="shared" si="376"/>
        <v>4.91</v>
      </c>
      <c r="AR323" s="7" t="str">
        <f t="shared" si="365"/>
        <v>D</v>
      </c>
      <c r="AS323" s="8">
        <f t="shared" si="366"/>
        <v>4</v>
      </c>
      <c r="AT323" s="8">
        <f t="shared" si="367"/>
        <v>8</v>
      </c>
      <c r="AU323" s="13">
        <f>IF(OR(UPPER(TRIM(AC323))="AB", AC323=901, AC323="901"), 0, IF(ISNUMBER(MATCH(UPPER(TRIM(AC323)), {"A+","A","B+","B","C","D","P"}, 0)), 2, 0))</f>
        <v>2</v>
      </c>
      <c r="AV323" s="13">
        <f t="shared" si="368"/>
        <v>24</v>
      </c>
      <c r="AW323">
        <f t="shared" si="369"/>
        <v>24</v>
      </c>
      <c r="AX323" s="1">
        <f t="shared" si="370"/>
        <v>48</v>
      </c>
      <c r="AY323" s="13">
        <f t="shared" si="374"/>
        <v>282</v>
      </c>
    </row>
    <row r="324" spans="1:51">
      <c r="A324" s="7">
        <v>5409636</v>
      </c>
      <c r="B324" s="7"/>
      <c r="C324" s="33" t="s">
        <v>90</v>
      </c>
      <c r="D324" s="1" t="s">
        <v>47</v>
      </c>
      <c r="E324" s="3">
        <v>1</v>
      </c>
      <c r="F324" s="1" t="s">
        <v>48</v>
      </c>
      <c r="G324" s="1">
        <v>2541515</v>
      </c>
      <c r="H324" s="2" t="s">
        <v>60</v>
      </c>
      <c r="I324" s="5" t="s">
        <v>50</v>
      </c>
      <c r="J324" s="1">
        <v>12</v>
      </c>
      <c r="K324" s="13" t="str">
        <f t="shared" si="371"/>
        <v>P</v>
      </c>
      <c r="L324" s="1">
        <v>12</v>
      </c>
      <c r="M324" s="13" t="str">
        <f t="shared" si="372"/>
        <v>P</v>
      </c>
      <c r="AB324" s="7" t="str">
        <f t="shared" si="363"/>
        <v>24</v>
      </c>
      <c r="AC324" s="13" t="str">
        <f t="shared" si="364"/>
        <v>D</v>
      </c>
      <c r="AD324" s="13" t="str">
        <f t="shared" si="375"/>
        <v>282</v>
      </c>
      <c r="AE324" s="1">
        <v>550</v>
      </c>
      <c r="AF324" s="15">
        <f t="shared" si="373"/>
        <v>51.272727272727266</v>
      </c>
      <c r="AG324" s="13" t="str">
        <f t="shared" si="373"/>
        <v>PASS</v>
      </c>
      <c r="AI324" s="1">
        <v>22</v>
      </c>
      <c r="AJ324" s="15">
        <f t="shared" si="376"/>
        <v>22</v>
      </c>
      <c r="AK324" s="16">
        <f t="shared" si="376"/>
        <v>108</v>
      </c>
      <c r="AL324" s="7">
        <f t="shared" si="376"/>
        <v>4.91</v>
      </c>
      <c r="AR324" s="7" t="str">
        <f t="shared" si="365"/>
        <v>D</v>
      </c>
      <c r="AS324" s="8">
        <f t="shared" si="366"/>
        <v>4</v>
      </c>
      <c r="AT324" s="8">
        <f t="shared" si="367"/>
        <v>8</v>
      </c>
      <c r="AU324" s="13">
        <f>IF(OR(UPPER(TRIM(AC324))="AB", AC324=901, AC324="901"), 0, IF(ISNUMBER(MATCH(UPPER(TRIM(AC324)), {"A+","A","B+","B","C","D","P"}, 0)), 2, 0))</f>
        <v>2</v>
      </c>
      <c r="AV324" s="13">
        <f t="shared" si="368"/>
        <v>24</v>
      </c>
      <c r="AW324">
        <f t="shared" si="369"/>
        <v>24</v>
      </c>
      <c r="AX324" s="1">
        <f t="shared" si="370"/>
        <v>48</v>
      </c>
      <c r="AY324" s="13">
        <f t="shared" si="374"/>
        <v>282</v>
      </c>
    </row>
    <row r="326" spans="1:51">
      <c r="A326" s="7">
        <v>5306556</v>
      </c>
      <c r="B326" s="7"/>
      <c r="C326" s="33" t="s">
        <v>91</v>
      </c>
      <c r="D326" s="1" t="s">
        <v>47</v>
      </c>
      <c r="E326" s="3">
        <v>1</v>
      </c>
      <c r="F326" s="1" t="s">
        <v>48</v>
      </c>
      <c r="G326" s="1">
        <v>1011312</v>
      </c>
      <c r="H326" s="2" t="s">
        <v>49</v>
      </c>
      <c r="I326" s="5" t="s">
        <v>50</v>
      </c>
      <c r="J326" s="6">
        <v>14</v>
      </c>
      <c r="K326" s="13" t="str">
        <f>IF(OR(UPPER(TRIM(J326))="AB",J326=901,J326="901"),"F",IF(J326&gt;=8,"P","F"))</f>
        <v>P</v>
      </c>
      <c r="L326" s="1">
        <v>19</v>
      </c>
      <c r="M326" s="13" t="str">
        <f>IF(OR(UPPER(TRIM(L326))="AB",L326=901,L326="901"),"F",IF(L326&gt;=8,"P","F"))</f>
        <v>P</v>
      </c>
      <c r="N326" s="13"/>
      <c r="O326" s="13"/>
      <c r="P326" s="13"/>
      <c r="Q326" s="13"/>
      <c r="R326" s="13"/>
      <c r="S326" s="13"/>
      <c r="T326" s="13"/>
      <c r="U326" s="13"/>
      <c r="V326" s="13"/>
      <c r="W326" s="13"/>
      <c r="X326" s="13"/>
      <c r="Y326" s="13"/>
      <c r="Z326" s="13"/>
      <c r="AB326" s="7" t="str">
        <f t="shared" ref="AB326:AB336" si="377">AV326 &amp; IF(AA326&lt;&gt;"", " @ " &amp; AA326, "")</f>
        <v>33</v>
      </c>
      <c r="AC326" s="13" t="str">
        <f t="shared" ref="AC326:AC336" si="378">IF(AX326&gt;=90,"O",
IF(AX326&gt;=80,"A+",
IF(AX326&gt;=70,"A",
IF(AX326&gt;=60,"B+",
IF(AX326&gt;=55,"B",
IF(AX326&gt;=50,"C",
IF(AX326&gt;=40,"D","F")))))))</f>
        <v>B+</v>
      </c>
      <c r="AD326" s="13" t="str">
        <f>SUM(AV326:AV336) &amp; IF(SUM(AA326:AA336)&gt;0, " @ " &amp; SUM(AA326:AA336), "")</f>
        <v>348</v>
      </c>
      <c r="AE326" s="1">
        <v>550</v>
      </c>
      <c r="AF326" s="15">
        <f>AY326/AE326*100</f>
        <v>63.272727272727266</v>
      </c>
      <c r="AG326" s="13" t="str" cm="1">
        <f t="array" ref="AG326">IF(
  SUMPRODUCT(--(IFERROR(VALUE(J326:J336),9999)&lt;8))
  + SUMPRODUCT(--(IFERROR(VALUE(L326:L336),9999)&lt;12))
  + COUNTIF(J326:J336,"AB") + COUNTIF(L326:L336,"AB")
  + COUNTIF(J326:J336,901) + COUNTIF(L326:L336,901) &gt; 0,
  "ATKT",
  "PASS"
)</f>
        <v>PASS</v>
      </c>
      <c r="AI326" s="1">
        <v>22</v>
      </c>
      <c r="AJ326" s="15">
        <f>SUM(AU326:AU336)</f>
        <v>22</v>
      </c>
      <c r="AK326" s="16">
        <f>SUM(AT326:AT336)</f>
        <v>140</v>
      </c>
      <c r="AL326" s="7">
        <f>IF(UPPER(TRIM(AG326))="ATKT",0,ROUND( (SUM(AT326:AT336) /22), 2))</f>
        <v>6.36</v>
      </c>
      <c r="AR326" s="7" t="str">
        <f t="shared" ref="AR326:AR336" si="379">IF(AL326&gt;=9,"O", IF(AL326&gt;=8,"A+", IF(AL326&gt;=7,"A", IF(AL326&gt;=6,"B+", IF(AL326&gt;=5.5,"B", IF(AL326&gt;=5,"C", IF(AL326&gt;=4,"D","F")))))))</f>
        <v>B+</v>
      </c>
      <c r="AS326" s="8">
        <f t="shared" ref="AS326:AS336" si="380">IF(AX326&gt;=90,10,
IF(AX326&gt;=80,9,
IF(AX326&gt;=70,8,
IF(AX326&gt;=60,7,
IF(AX326&gt;=55,6,
IF(AX326&gt;=50,5,
IF(AX326&gt;=40,4,0)))))))</f>
        <v>7</v>
      </c>
      <c r="AT326" s="8">
        <f t="shared" ref="AT326:AT336" si="381">AS326*I326</f>
        <v>14</v>
      </c>
      <c r="AU326" s="13">
        <f>IF(OR(UPPER(TRIM(AC326))="AB", AC326=901, AC326="901"), 0, IF(ISNUMBER(MATCH(UPPER(TRIM(AC326)), {"A+","A","B+","B","C","D","P"}, 0)), 2, 0))</f>
        <v>2</v>
      </c>
      <c r="AV326" s="13">
        <f t="shared" ref="AV326:AV336" si="382">SUM(
IF(OR(UPPER(TRIM(J326))="AB",J326=901,J326="901"),0,IFERROR(VALUE(J326),0)),
IF(OR(UPPER(TRIM(L326))="AB",L326=901,L326="901"),0,IFERROR(VALUE(L326),0)),
IF(OR(UPPER(TRIM(N326))="AB",N326=901,N326="901"),0,IFERROR(VALUE(N326),0))
)</f>
        <v>33</v>
      </c>
      <c r="AW326">
        <f t="shared" ref="AW326:AW336" si="383">AA326+AV326</f>
        <v>33</v>
      </c>
      <c r="AX326" s="1">
        <f t="shared" ref="AX326:AX336" si="384">(AW326 / 50) * 100</f>
        <v>66</v>
      </c>
      <c r="AY326" s="13">
        <f>SUM(AW326:AW336)</f>
        <v>348</v>
      </c>
    </row>
    <row r="327" spans="1:51">
      <c r="A327" s="7">
        <v>5306556</v>
      </c>
      <c r="B327" s="7"/>
      <c r="C327" s="33" t="s">
        <v>91</v>
      </c>
      <c r="D327" s="1" t="s">
        <v>47</v>
      </c>
      <c r="E327" s="3">
        <v>1</v>
      </c>
      <c r="F327" s="1" t="s">
        <v>48</v>
      </c>
      <c r="G327" s="1">
        <v>1171312</v>
      </c>
      <c r="H327" s="2" t="s">
        <v>51</v>
      </c>
      <c r="I327" s="5" t="s">
        <v>50</v>
      </c>
      <c r="J327" s="1">
        <v>18</v>
      </c>
      <c r="K327" s="13" t="str">
        <f t="shared" ref="K327:K336" si="385">IF(OR(UPPER(TRIM(J327))="AB",J327=901,J327="901"),"F",IF(J327&gt;=8,"P","F"))</f>
        <v>P</v>
      </c>
      <c r="L327" s="1">
        <v>13</v>
      </c>
      <c r="M327" s="13" t="str">
        <f t="shared" ref="M327:M336" si="386">IF(OR(UPPER(TRIM(L327))="AB",L327=901,L327="901"),"F",IF(L327&gt;=8,"P","F"))</f>
        <v>P</v>
      </c>
      <c r="AB327" s="7" t="str">
        <f t="shared" si="377"/>
        <v>31</v>
      </c>
      <c r="AC327" s="13" t="str">
        <f t="shared" si="378"/>
        <v>B+</v>
      </c>
      <c r="AD327" s="13" t="str">
        <f>AD326</f>
        <v>348</v>
      </c>
      <c r="AE327" s="1">
        <v>550</v>
      </c>
      <c r="AF327" s="15">
        <f t="shared" ref="AF327:AG336" si="387">AF326</f>
        <v>63.272727272727266</v>
      </c>
      <c r="AG327" s="13" t="str">
        <f t="shared" si="387"/>
        <v>PASS</v>
      </c>
      <c r="AI327" s="1">
        <v>22</v>
      </c>
      <c r="AJ327" s="15">
        <f>AJ326</f>
        <v>22</v>
      </c>
      <c r="AK327" s="16">
        <f>AK326</f>
        <v>140</v>
      </c>
      <c r="AL327" s="7">
        <f>AL326</f>
        <v>6.36</v>
      </c>
      <c r="AR327" s="7" t="str">
        <f t="shared" si="379"/>
        <v>B+</v>
      </c>
      <c r="AS327" s="8">
        <f t="shared" si="380"/>
        <v>7</v>
      </c>
      <c r="AT327" s="8">
        <f t="shared" si="381"/>
        <v>14</v>
      </c>
      <c r="AU327" s="13">
        <f>IF(OR(UPPER(TRIM(AC327))="AB", AC327=901, AC327="901"), 0, IF(ISNUMBER(MATCH(UPPER(TRIM(AC327)), {"A+","A","B+","B","C","D","P"}, 0)), 2, 0))</f>
        <v>2</v>
      </c>
      <c r="AV327" s="13">
        <f t="shared" si="382"/>
        <v>31</v>
      </c>
      <c r="AW327">
        <f t="shared" si="383"/>
        <v>31</v>
      </c>
      <c r="AX327" s="1">
        <f t="shared" si="384"/>
        <v>62</v>
      </c>
      <c r="AY327" s="13">
        <f t="shared" ref="AY327:AY336" si="388">AY326</f>
        <v>348</v>
      </c>
    </row>
    <row r="328" spans="1:51">
      <c r="A328" s="7">
        <v>5306556</v>
      </c>
      <c r="B328" s="7"/>
      <c r="C328" s="33" t="s">
        <v>91</v>
      </c>
      <c r="D328" s="1" t="s">
        <v>47</v>
      </c>
      <c r="E328" s="3">
        <v>1</v>
      </c>
      <c r="F328" s="1" t="s">
        <v>48</v>
      </c>
      <c r="G328" s="1">
        <v>1461111</v>
      </c>
      <c r="H328" s="2" t="s">
        <v>52</v>
      </c>
      <c r="I328" s="5" t="s">
        <v>50</v>
      </c>
      <c r="J328" s="1">
        <v>12</v>
      </c>
      <c r="K328" s="13" t="str">
        <f t="shared" si="385"/>
        <v>P</v>
      </c>
      <c r="L328" s="1">
        <v>12</v>
      </c>
      <c r="M328" s="13" t="str">
        <f t="shared" si="386"/>
        <v>P</v>
      </c>
      <c r="AB328" s="7" t="str">
        <f t="shared" si="377"/>
        <v>24</v>
      </c>
      <c r="AC328" s="13" t="str">
        <f t="shared" si="378"/>
        <v>D</v>
      </c>
      <c r="AD328" s="13" t="str">
        <f t="shared" ref="AD328:AD336" si="389">AD327</f>
        <v>348</v>
      </c>
      <c r="AE328" s="1">
        <v>550</v>
      </c>
      <c r="AF328" s="15">
        <f t="shared" si="387"/>
        <v>63.272727272727266</v>
      </c>
      <c r="AG328" s="13" t="str">
        <f t="shared" si="387"/>
        <v>PASS</v>
      </c>
      <c r="AI328" s="1">
        <v>22</v>
      </c>
      <c r="AJ328" s="15">
        <f t="shared" ref="AJ328:AL336" si="390">AJ327</f>
        <v>22</v>
      </c>
      <c r="AK328" s="16">
        <f t="shared" si="390"/>
        <v>140</v>
      </c>
      <c r="AL328" s="7">
        <f t="shared" si="390"/>
        <v>6.36</v>
      </c>
      <c r="AR328" s="7" t="str">
        <f t="shared" si="379"/>
        <v>B+</v>
      </c>
      <c r="AS328" s="8">
        <f t="shared" si="380"/>
        <v>4</v>
      </c>
      <c r="AT328" s="8">
        <f t="shared" si="381"/>
        <v>8</v>
      </c>
      <c r="AU328" s="13">
        <f>IF(OR(UPPER(TRIM(AC328))="AB", AC328=901, AC328="901"), 0, IF(ISNUMBER(MATCH(UPPER(TRIM(AC328)), {"A+","A","B+","B","C","D","P"}, 0)), 2, 0))</f>
        <v>2</v>
      </c>
      <c r="AV328" s="13">
        <f t="shared" si="382"/>
        <v>24</v>
      </c>
      <c r="AW328">
        <f t="shared" si="383"/>
        <v>24</v>
      </c>
      <c r="AX328" s="1">
        <f t="shared" si="384"/>
        <v>48</v>
      </c>
      <c r="AY328" s="13">
        <f t="shared" si="388"/>
        <v>348</v>
      </c>
    </row>
    <row r="329" spans="1:51">
      <c r="A329" s="7">
        <v>5306556</v>
      </c>
      <c r="B329" s="7"/>
      <c r="C329" s="33" t="s">
        <v>91</v>
      </c>
      <c r="D329" s="1" t="s">
        <v>47</v>
      </c>
      <c r="E329" s="3">
        <v>1</v>
      </c>
      <c r="F329" s="1" t="s">
        <v>48</v>
      </c>
      <c r="G329" s="1">
        <v>1461112</v>
      </c>
      <c r="H329" s="2" t="s">
        <v>53</v>
      </c>
      <c r="I329" s="5" t="s">
        <v>50</v>
      </c>
      <c r="J329" s="1">
        <v>12</v>
      </c>
      <c r="K329" s="13" t="str">
        <f t="shared" si="385"/>
        <v>P</v>
      </c>
      <c r="L329" s="1">
        <v>13</v>
      </c>
      <c r="M329" s="13" t="str">
        <f t="shared" si="386"/>
        <v>P</v>
      </c>
      <c r="AB329" s="7" t="str">
        <f t="shared" si="377"/>
        <v>25</v>
      </c>
      <c r="AC329" s="13" t="str">
        <f t="shared" si="378"/>
        <v>C</v>
      </c>
      <c r="AD329" s="13" t="str">
        <f t="shared" si="389"/>
        <v>348</v>
      </c>
      <c r="AE329" s="1">
        <v>550</v>
      </c>
      <c r="AF329" s="15">
        <f t="shared" si="387"/>
        <v>63.272727272727266</v>
      </c>
      <c r="AG329" s="13" t="str">
        <f t="shared" si="387"/>
        <v>PASS</v>
      </c>
      <c r="AI329" s="1">
        <v>22</v>
      </c>
      <c r="AJ329" s="15">
        <f t="shared" si="390"/>
        <v>22</v>
      </c>
      <c r="AK329" s="16">
        <f t="shared" si="390"/>
        <v>140</v>
      </c>
      <c r="AL329" s="7">
        <f t="shared" si="390"/>
        <v>6.36</v>
      </c>
      <c r="AR329" s="7" t="str">
        <f t="shared" si="379"/>
        <v>B+</v>
      </c>
      <c r="AS329" s="8">
        <f t="shared" si="380"/>
        <v>5</v>
      </c>
      <c r="AT329" s="8">
        <f t="shared" si="381"/>
        <v>10</v>
      </c>
      <c r="AU329" s="13">
        <f>IF(OR(UPPER(TRIM(AC329))="AB", AC329=901, AC329="901"), 0, IF(ISNUMBER(MATCH(UPPER(TRIM(AC329)), {"A+","A","B+","B","C","D","P"}, 0)), 2, 0))</f>
        <v>2</v>
      </c>
      <c r="AV329" s="13">
        <f t="shared" si="382"/>
        <v>25</v>
      </c>
      <c r="AW329">
        <f t="shared" si="383"/>
        <v>25</v>
      </c>
      <c r="AX329" s="1">
        <f t="shared" si="384"/>
        <v>50</v>
      </c>
      <c r="AY329" s="13">
        <f t="shared" si="388"/>
        <v>348</v>
      </c>
    </row>
    <row r="330" spans="1:51">
      <c r="A330" s="7">
        <v>5306556</v>
      </c>
      <c r="B330" s="7"/>
      <c r="C330" s="33" t="s">
        <v>91</v>
      </c>
      <c r="D330" s="1" t="s">
        <v>47</v>
      </c>
      <c r="E330" s="3">
        <v>1</v>
      </c>
      <c r="F330" s="1" t="s">
        <v>48</v>
      </c>
      <c r="G330" s="1">
        <v>1461113</v>
      </c>
      <c r="H330" s="2" t="s">
        <v>54</v>
      </c>
      <c r="I330" s="5" t="s">
        <v>50</v>
      </c>
      <c r="J330" s="1">
        <v>19</v>
      </c>
      <c r="K330" s="13" t="str">
        <f t="shared" si="385"/>
        <v>P</v>
      </c>
      <c r="L330" s="1">
        <v>20</v>
      </c>
      <c r="M330" s="13" t="str">
        <f t="shared" si="386"/>
        <v>P</v>
      </c>
      <c r="AB330" s="7" t="str">
        <f t="shared" si="377"/>
        <v>39</v>
      </c>
      <c r="AC330" s="13" t="str">
        <f t="shared" si="378"/>
        <v>A</v>
      </c>
      <c r="AD330" s="13" t="str">
        <f t="shared" si="389"/>
        <v>348</v>
      </c>
      <c r="AE330" s="1">
        <v>550</v>
      </c>
      <c r="AF330" s="15">
        <f t="shared" si="387"/>
        <v>63.272727272727266</v>
      </c>
      <c r="AG330" s="13" t="str">
        <f t="shared" si="387"/>
        <v>PASS</v>
      </c>
      <c r="AI330" s="1">
        <v>22</v>
      </c>
      <c r="AJ330" s="15">
        <f t="shared" si="390"/>
        <v>22</v>
      </c>
      <c r="AK330" s="16">
        <f t="shared" si="390"/>
        <v>140</v>
      </c>
      <c r="AL330" s="7">
        <f t="shared" si="390"/>
        <v>6.36</v>
      </c>
      <c r="AR330" s="7" t="str">
        <f t="shared" si="379"/>
        <v>B+</v>
      </c>
      <c r="AS330" s="8">
        <f t="shared" si="380"/>
        <v>8</v>
      </c>
      <c r="AT330" s="8">
        <f t="shared" si="381"/>
        <v>16</v>
      </c>
      <c r="AU330" s="13">
        <f>IF(OR(UPPER(TRIM(AC330))="AB", AC330=901, AC330="901"), 0, IF(ISNUMBER(MATCH(UPPER(TRIM(AC330)), {"A+","A","B+","B","C","D","P"}, 0)), 2, 0))</f>
        <v>2</v>
      </c>
      <c r="AV330" s="13">
        <f t="shared" si="382"/>
        <v>39</v>
      </c>
      <c r="AW330">
        <f t="shared" si="383"/>
        <v>39</v>
      </c>
      <c r="AX330" s="1">
        <f t="shared" si="384"/>
        <v>78</v>
      </c>
      <c r="AY330" s="13">
        <f t="shared" si="388"/>
        <v>348</v>
      </c>
    </row>
    <row r="331" spans="1:51">
      <c r="A331" s="7">
        <v>5306556</v>
      </c>
      <c r="B331" s="7"/>
      <c r="C331" s="33" t="s">
        <v>91</v>
      </c>
      <c r="D331" s="1" t="s">
        <v>47</v>
      </c>
      <c r="E331" s="3">
        <v>1</v>
      </c>
      <c r="F331" s="1" t="s">
        <v>48</v>
      </c>
      <c r="G331" s="1">
        <v>1461411</v>
      </c>
      <c r="H331" s="2" t="s">
        <v>55</v>
      </c>
      <c r="I331" s="5" t="s">
        <v>50</v>
      </c>
      <c r="J331" s="1">
        <v>13</v>
      </c>
      <c r="K331" s="13" t="str">
        <f t="shared" si="385"/>
        <v>P</v>
      </c>
      <c r="L331" s="1">
        <v>25</v>
      </c>
      <c r="M331" s="13" t="str">
        <f t="shared" si="386"/>
        <v>P</v>
      </c>
      <c r="AB331" s="7" t="str">
        <f t="shared" si="377"/>
        <v>38</v>
      </c>
      <c r="AC331" s="13" t="str">
        <f t="shared" si="378"/>
        <v>A</v>
      </c>
      <c r="AD331" s="13" t="str">
        <f t="shared" si="389"/>
        <v>348</v>
      </c>
      <c r="AE331" s="1">
        <v>550</v>
      </c>
      <c r="AF331" s="15">
        <f t="shared" si="387"/>
        <v>63.272727272727266</v>
      </c>
      <c r="AG331" s="13" t="str">
        <f t="shared" si="387"/>
        <v>PASS</v>
      </c>
      <c r="AI331" s="1">
        <v>22</v>
      </c>
      <c r="AJ331" s="15">
        <f t="shared" si="390"/>
        <v>22</v>
      </c>
      <c r="AK331" s="16">
        <f t="shared" si="390"/>
        <v>140</v>
      </c>
      <c r="AL331" s="7">
        <f t="shared" si="390"/>
        <v>6.36</v>
      </c>
      <c r="AR331" s="7" t="str">
        <f t="shared" si="379"/>
        <v>B+</v>
      </c>
      <c r="AS331" s="8">
        <f t="shared" si="380"/>
        <v>8</v>
      </c>
      <c r="AT331" s="8">
        <f t="shared" si="381"/>
        <v>16</v>
      </c>
      <c r="AU331" s="13">
        <f>IF(OR(UPPER(TRIM(AC331))="AB", AC331=901, AC331="901"), 0, IF(ISNUMBER(MATCH(UPPER(TRIM(AC331)), {"A+","A","B+","B","C","D","P"}, 0)), 2, 0))</f>
        <v>2</v>
      </c>
      <c r="AV331" s="13">
        <f t="shared" si="382"/>
        <v>38</v>
      </c>
      <c r="AW331">
        <f t="shared" si="383"/>
        <v>38</v>
      </c>
      <c r="AX331" s="1">
        <f t="shared" si="384"/>
        <v>76</v>
      </c>
      <c r="AY331" s="13">
        <f t="shared" si="388"/>
        <v>348</v>
      </c>
    </row>
    <row r="332" spans="1:51">
      <c r="A332" s="7">
        <v>5306556</v>
      </c>
      <c r="B332" s="7"/>
      <c r="C332" s="33" t="s">
        <v>91</v>
      </c>
      <c r="D332" s="1" t="s">
        <v>47</v>
      </c>
      <c r="E332" s="3">
        <v>1</v>
      </c>
      <c r="F332" s="1" t="s">
        <v>48</v>
      </c>
      <c r="G332" s="1">
        <v>1461412</v>
      </c>
      <c r="H332" s="2" t="s">
        <v>56</v>
      </c>
      <c r="I332" s="5" t="s">
        <v>50</v>
      </c>
      <c r="J332" s="1">
        <v>12</v>
      </c>
      <c r="K332" s="13" t="str">
        <f t="shared" si="385"/>
        <v>P</v>
      </c>
      <c r="L332" s="1">
        <v>12</v>
      </c>
      <c r="M332" s="13" t="str">
        <f t="shared" si="386"/>
        <v>P</v>
      </c>
      <c r="AB332" s="7" t="str">
        <f t="shared" si="377"/>
        <v>24</v>
      </c>
      <c r="AC332" s="13" t="str">
        <f t="shared" si="378"/>
        <v>D</v>
      </c>
      <c r="AD332" s="13" t="str">
        <f t="shared" si="389"/>
        <v>348</v>
      </c>
      <c r="AE332" s="1">
        <v>550</v>
      </c>
      <c r="AF332" s="15">
        <f t="shared" si="387"/>
        <v>63.272727272727266</v>
      </c>
      <c r="AG332" s="13" t="str">
        <f t="shared" si="387"/>
        <v>PASS</v>
      </c>
      <c r="AI332" s="1">
        <v>22</v>
      </c>
      <c r="AJ332" s="15">
        <f t="shared" si="390"/>
        <v>22</v>
      </c>
      <c r="AK332" s="16">
        <f t="shared" si="390"/>
        <v>140</v>
      </c>
      <c r="AL332" s="7">
        <f t="shared" si="390"/>
        <v>6.36</v>
      </c>
      <c r="AR332" s="7" t="str">
        <f t="shared" si="379"/>
        <v>B+</v>
      </c>
      <c r="AS332" s="8">
        <f t="shared" si="380"/>
        <v>4</v>
      </c>
      <c r="AT332" s="8">
        <f t="shared" si="381"/>
        <v>8</v>
      </c>
      <c r="AU332" s="13">
        <f>IF(OR(UPPER(TRIM(AC332))="AB", AC332=901, AC332="901"), 0, IF(ISNUMBER(MATCH(UPPER(TRIM(AC332)), {"A+","A","B+","B","C","D","P"}, 0)), 2, 0))</f>
        <v>2</v>
      </c>
      <c r="AV332" s="13">
        <f t="shared" si="382"/>
        <v>24</v>
      </c>
      <c r="AW332">
        <f t="shared" si="383"/>
        <v>24</v>
      </c>
      <c r="AX332" s="1">
        <f t="shared" si="384"/>
        <v>48</v>
      </c>
      <c r="AY332" s="13">
        <f t="shared" si="388"/>
        <v>348</v>
      </c>
    </row>
    <row r="333" spans="1:51">
      <c r="A333" s="7">
        <v>5306556</v>
      </c>
      <c r="B333" s="7"/>
      <c r="C333" s="33" t="s">
        <v>91</v>
      </c>
      <c r="D333" s="1" t="s">
        <v>47</v>
      </c>
      <c r="E333" s="3">
        <v>1</v>
      </c>
      <c r="F333" s="1" t="s">
        <v>48</v>
      </c>
      <c r="G333" s="1">
        <v>2511515</v>
      </c>
      <c r="H333" s="2" t="s">
        <v>57</v>
      </c>
      <c r="I333" s="5" t="s">
        <v>50</v>
      </c>
      <c r="J333" s="1">
        <v>12</v>
      </c>
      <c r="K333" s="13" t="str">
        <f t="shared" si="385"/>
        <v>P</v>
      </c>
      <c r="L333" s="1">
        <v>12</v>
      </c>
      <c r="M333" s="13" t="str">
        <f t="shared" si="386"/>
        <v>P</v>
      </c>
      <c r="AB333" s="7" t="str">
        <f t="shared" si="377"/>
        <v>24</v>
      </c>
      <c r="AC333" s="13" t="str">
        <f t="shared" si="378"/>
        <v>D</v>
      </c>
      <c r="AD333" s="13" t="str">
        <f t="shared" si="389"/>
        <v>348</v>
      </c>
      <c r="AE333" s="1">
        <v>550</v>
      </c>
      <c r="AF333" s="15">
        <f t="shared" si="387"/>
        <v>63.272727272727266</v>
      </c>
      <c r="AG333" s="13" t="str">
        <f t="shared" si="387"/>
        <v>PASS</v>
      </c>
      <c r="AI333" s="1">
        <v>22</v>
      </c>
      <c r="AJ333" s="15">
        <f t="shared" si="390"/>
        <v>22</v>
      </c>
      <c r="AK333" s="16">
        <f t="shared" si="390"/>
        <v>140</v>
      </c>
      <c r="AL333" s="7">
        <f t="shared" si="390"/>
        <v>6.36</v>
      </c>
      <c r="AR333" s="7" t="str">
        <f t="shared" si="379"/>
        <v>B+</v>
      </c>
      <c r="AS333" s="8">
        <f t="shared" si="380"/>
        <v>4</v>
      </c>
      <c r="AT333" s="8">
        <f t="shared" si="381"/>
        <v>8</v>
      </c>
      <c r="AU333" s="13">
        <f>IF(OR(UPPER(TRIM(AC333))="AB", AC333=901, AC333="901"), 0, IF(ISNUMBER(MATCH(UPPER(TRIM(AC333)), {"A+","A","B+","B","C","D","P"}, 0)), 2, 0))</f>
        <v>2</v>
      </c>
      <c r="AV333" s="13">
        <f t="shared" si="382"/>
        <v>24</v>
      </c>
      <c r="AW333">
        <f t="shared" si="383"/>
        <v>24</v>
      </c>
      <c r="AX333" s="1">
        <f t="shared" si="384"/>
        <v>48</v>
      </c>
      <c r="AY333" s="13">
        <f t="shared" si="388"/>
        <v>348</v>
      </c>
    </row>
    <row r="334" spans="1:51" s="19" customFormat="1">
      <c r="A334" s="14">
        <v>5306556</v>
      </c>
      <c r="B334" s="14"/>
      <c r="C334" s="34" t="s">
        <v>91</v>
      </c>
      <c r="D334" s="18" t="s">
        <v>47</v>
      </c>
      <c r="E334" s="20">
        <v>1</v>
      </c>
      <c r="F334" s="18" t="s">
        <v>48</v>
      </c>
      <c r="G334" s="18">
        <v>2521615</v>
      </c>
      <c r="H334" s="29" t="s">
        <v>58</v>
      </c>
      <c r="I334" s="22" t="s">
        <v>50</v>
      </c>
      <c r="J334" s="18">
        <v>18</v>
      </c>
      <c r="K334" s="24" t="str">
        <f t="shared" si="385"/>
        <v>P</v>
      </c>
      <c r="L334" s="18">
        <v>26</v>
      </c>
      <c r="M334" s="24" t="str">
        <f t="shared" si="386"/>
        <v>P</v>
      </c>
      <c r="N334" s="20"/>
      <c r="O334" s="20"/>
      <c r="P334" s="20"/>
      <c r="Q334" s="20"/>
      <c r="R334" s="20"/>
      <c r="S334" s="20"/>
      <c r="T334" s="20"/>
      <c r="U334" s="20"/>
      <c r="V334" s="20"/>
      <c r="W334" s="20"/>
      <c r="X334" s="20"/>
      <c r="Y334" s="20"/>
      <c r="Z334" s="20"/>
      <c r="AA334" s="14"/>
      <c r="AB334" s="14" t="str">
        <f t="shared" si="377"/>
        <v>44</v>
      </c>
      <c r="AC334" s="24" t="str">
        <f t="shared" si="378"/>
        <v>A+</v>
      </c>
      <c r="AD334" s="24" t="str">
        <f t="shared" si="389"/>
        <v>348</v>
      </c>
      <c r="AE334" s="18">
        <v>550</v>
      </c>
      <c r="AF334" s="25">
        <f t="shared" si="387"/>
        <v>63.272727272727266</v>
      </c>
      <c r="AG334" s="24" t="str">
        <f t="shared" si="387"/>
        <v>PASS</v>
      </c>
      <c r="AH334" s="26"/>
      <c r="AI334" s="18">
        <v>22</v>
      </c>
      <c r="AJ334" s="25">
        <f t="shared" si="390"/>
        <v>22</v>
      </c>
      <c r="AK334" s="27">
        <f t="shared" si="390"/>
        <v>140</v>
      </c>
      <c r="AL334" s="14">
        <f t="shared" si="390"/>
        <v>6.36</v>
      </c>
      <c r="AM334" s="20"/>
      <c r="AN334" s="20"/>
      <c r="AO334" s="20"/>
      <c r="AP334" s="20"/>
      <c r="AQ334" s="18"/>
      <c r="AR334" s="14" t="str">
        <f t="shared" si="379"/>
        <v>B+</v>
      </c>
      <c r="AS334" s="28">
        <f t="shared" si="380"/>
        <v>9</v>
      </c>
      <c r="AT334" s="28">
        <f t="shared" si="381"/>
        <v>18</v>
      </c>
      <c r="AU334" s="24">
        <f>IF(OR(UPPER(TRIM(AC334))="AB", AC334=901, AC334="901"), 0, IF(ISNUMBER(MATCH(UPPER(TRIM(AC334)), {"A+","A","B+","B","C","D","P"}, 0)), 2, 0))</f>
        <v>2</v>
      </c>
      <c r="AV334" s="24">
        <f t="shared" si="382"/>
        <v>44</v>
      </c>
      <c r="AW334" s="19">
        <f t="shared" si="383"/>
        <v>44</v>
      </c>
      <c r="AX334" s="18">
        <f t="shared" si="384"/>
        <v>88</v>
      </c>
      <c r="AY334" s="24">
        <f t="shared" si="388"/>
        <v>348</v>
      </c>
    </row>
    <row r="335" spans="1:51">
      <c r="A335" s="7">
        <v>5306556</v>
      </c>
      <c r="B335" s="7"/>
      <c r="C335" s="33" t="s">
        <v>91</v>
      </c>
      <c r="D335" s="1" t="s">
        <v>47</v>
      </c>
      <c r="E335" s="3">
        <v>1</v>
      </c>
      <c r="F335" s="1" t="s">
        <v>48</v>
      </c>
      <c r="G335" s="1">
        <v>2531511</v>
      </c>
      <c r="H335" s="2" t="s">
        <v>59</v>
      </c>
      <c r="I335" s="5" t="s">
        <v>50</v>
      </c>
      <c r="J335" s="1">
        <v>16</v>
      </c>
      <c r="K335" s="13" t="str">
        <f t="shared" si="385"/>
        <v>P</v>
      </c>
      <c r="L335" s="1">
        <v>17</v>
      </c>
      <c r="M335" s="13" t="str">
        <f t="shared" si="386"/>
        <v>P</v>
      </c>
      <c r="AB335" s="7" t="str">
        <f t="shared" si="377"/>
        <v>33</v>
      </c>
      <c r="AC335" s="13" t="str">
        <f t="shared" si="378"/>
        <v>B+</v>
      </c>
      <c r="AD335" s="13" t="str">
        <f t="shared" si="389"/>
        <v>348</v>
      </c>
      <c r="AE335" s="1">
        <v>550</v>
      </c>
      <c r="AF335" s="15">
        <f t="shared" si="387"/>
        <v>63.272727272727266</v>
      </c>
      <c r="AG335" s="13" t="str">
        <f t="shared" si="387"/>
        <v>PASS</v>
      </c>
      <c r="AI335" s="1">
        <v>22</v>
      </c>
      <c r="AJ335" s="15">
        <f t="shared" si="390"/>
        <v>22</v>
      </c>
      <c r="AK335" s="16">
        <f t="shared" si="390"/>
        <v>140</v>
      </c>
      <c r="AL335" s="7">
        <f t="shared" si="390"/>
        <v>6.36</v>
      </c>
      <c r="AR335" s="7" t="str">
        <f t="shared" si="379"/>
        <v>B+</v>
      </c>
      <c r="AS335" s="8">
        <f t="shared" si="380"/>
        <v>7</v>
      </c>
      <c r="AT335" s="8">
        <f t="shared" si="381"/>
        <v>14</v>
      </c>
      <c r="AU335" s="13">
        <f>IF(OR(UPPER(TRIM(AC335))="AB", AC335=901, AC335="901"), 0, IF(ISNUMBER(MATCH(UPPER(TRIM(AC335)), {"A+","A","B+","B","C","D","P"}, 0)), 2, 0))</f>
        <v>2</v>
      </c>
      <c r="AV335" s="13">
        <f t="shared" si="382"/>
        <v>33</v>
      </c>
      <c r="AW335">
        <f t="shared" si="383"/>
        <v>33</v>
      </c>
      <c r="AX335" s="1">
        <f t="shared" si="384"/>
        <v>66</v>
      </c>
      <c r="AY335" s="13">
        <f t="shared" si="388"/>
        <v>348</v>
      </c>
    </row>
    <row r="336" spans="1:51">
      <c r="A336" s="7">
        <v>5306556</v>
      </c>
      <c r="B336" s="7"/>
      <c r="C336" s="33" t="s">
        <v>91</v>
      </c>
      <c r="D336" s="1" t="s">
        <v>47</v>
      </c>
      <c r="E336" s="3">
        <v>1</v>
      </c>
      <c r="F336" s="1" t="s">
        <v>48</v>
      </c>
      <c r="G336" s="1">
        <v>2541515</v>
      </c>
      <c r="H336" s="2" t="s">
        <v>60</v>
      </c>
      <c r="I336" s="5" t="s">
        <v>50</v>
      </c>
      <c r="J336" s="1">
        <v>13</v>
      </c>
      <c r="K336" s="13" t="str">
        <f t="shared" si="385"/>
        <v>P</v>
      </c>
      <c r="L336" s="1">
        <v>20</v>
      </c>
      <c r="M336" s="13" t="str">
        <f t="shared" si="386"/>
        <v>P</v>
      </c>
      <c r="AB336" s="7" t="str">
        <f t="shared" si="377"/>
        <v>33</v>
      </c>
      <c r="AC336" s="13" t="str">
        <f t="shared" si="378"/>
        <v>B+</v>
      </c>
      <c r="AD336" s="13" t="str">
        <f t="shared" si="389"/>
        <v>348</v>
      </c>
      <c r="AE336" s="1">
        <v>550</v>
      </c>
      <c r="AF336" s="15">
        <f t="shared" si="387"/>
        <v>63.272727272727266</v>
      </c>
      <c r="AG336" s="13" t="str">
        <f t="shared" si="387"/>
        <v>PASS</v>
      </c>
      <c r="AI336" s="1">
        <v>22</v>
      </c>
      <c r="AJ336" s="15">
        <f t="shared" si="390"/>
        <v>22</v>
      </c>
      <c r="AK336" s="16">
        <f t="shared" si="390"/>
        <v>140</v>
      </c>
      <c r="AL336" s="7">
        <f t="shared" si="390"/>
        <v>6.36</v>
      </c>
      <c r="AR336" s="7" t="str">
        <f t="shared" si="379"/>
        <v>B+</v>
      </c>
      <c r="AS336" s="8">
        <f t="shared" si="380"/>
        <v>7</v>
      </c>
      <c r="AT336" s="8">
        <f t="shared" si="381"/>
        <v>14</v>
      </c>
      <c r="AU336" s="13">
        <f>IF(OR(UPPER(TRIM(AC336))="AB", AC336=901, AC336="901"), 0, IF(ISNUMBER(MATCH(UPPER(TRIM(AC336)), {"A+","A","B+","B","C","D","P"}, 0)), 2, 0))</f>
        <v>2</v>
      </c>
      <c r="AV336" s="13">
        <f t="shared" si="382"/>
        <v>33</v>
      </c>
      <c r="AW336">
        <f t="shared" si="383"/>
        <v>33</v>
      </c>
      <c r="AX336" s="1">
        <f t="shared" si="384"/>
        <v>66</v>
      </c>
      <c r="AY336" s="13">
        <f t="shared" si="388"/>
        <v>348</v>
      </c>
    </row>
    <row r="338" spans="1:51" s="19" customFormat="1">
      <c r="A338" s="14">
        <v>5068083</v>
      </c>
      <c r="B338" s="14"/>
      <c r="C338" s="34" t="s">
        <v>92</v>
      </c>
      <c r="D338" s="18" t="s">
        <v>47</v>
      </c>
      <c r="E338" s="20">
        <v>1</v>
      </c>
      <c r="F338" s="18" t="s">
        <v>48</v>
      </c>
      <c r="G338" s="18">
        <v>1011312</v>
      </c>
      <c r="H338" s="21" t="s">
        <v>49</v>
      </c>
      <c r="I338" s="22" t="s">
        <v>50</v>
      </c>
      <c r="J338" s="23">
        <v>18</v>
      </c>
      <c r="K338" s="24" t="str">
        <f>IF(OR(UPPER(TRIM(J338))="AB",J338=901,J338="901"),"F",IF(J338&gt;=8,"P","F"))</f>
        <v>P</v>
      </c>
      <c r="L338" s="18">
        <v>25</v>
      </c>
      <c r="M338" s="24" t="str">
        <f>IF(OR(UPPER(TRIM(L338))="AB",L338=901,L338="901"),"F",IF(L338&gt;=8,"P","F"))</f>
        <v>P</v>
      </c>
      <c r="N338" s="24"/>
      <c r="O338" s="24"/>
      <c r="P338" s="24"/>
      <c r="Q338" s="24"/>
      <c r="R338" s="24"/>
      <c r="S338" s="24"/>
      <c r="T338" s="24"/>
      <c r="U338" s="24"/>
      <c r="V338" s="24"/>
      <c r="W338" s="24"/>
      <c r="X338" s="24"/>
      <c r="Y338" s="24"/>
      <c r="Z338" s="24"/>
      <c r="AA338" s="14"/>
      <c r="AB338" s="14" t="str">
        <f t="shared" ref="AB338:AB348" si="391">AV338 &amp; IF(AA338&lt;&gt;"", " @ " &amp; AA338, "")</f>
        <v>43</v>
      </c>
      <c r="AC338" s="24" t="str">
        <f t="shared" ref="AC338:AC348" si="392">IF(AX338&gt;=90,"O",
IF(AX338&gt;=80,"A+",
IF(AX338&gt;=70,"A",
IF(AX338&gt;=60,"B+",
IF(AX338&gt;=55,"B",
IF(AX338&gt;=50,"C",
IF(AX338&gt;=40,"D","F")))))))</f>
        <v>A+</v>
      </c>
      <c r="AD338" s="24" t="str">
        <f>SUM(AV338:AV348) &amp; IF(SUM(AA338:AA348)&gt;0, " @ " &amp; SUM(AA338:AA348), "")</f>
        <v>333</v>
      </c>
      <c r="AE338" s="18">
        <v>550</v>
      </c>
      <c r="AF338" s="25">
        <f>AY338/AE338*100</f>
        <v>60.545454545454547</v>
      </c>
      <c r="AG338" s="24" t="str" cm="1">
        <f t="array" ref="AG338">IF(
  SUMPRODUCT(--(IFERROR(VALUE(J338:J348),9999)&lt;8))
  + SUMPRODUCT(--(IFERROR(VALUE(L338:L348),9999)&lt;12))
  + COUNTIF(J338:J348,"AB") + COUNTIF(L338:L348,"AB")
  + COUNTIF(J338:J348,901) + COUNTIF(L338:L348,901) &gt; 0,
  "ATKT",
  "PASS"
)</f>
        <v>PASS</v>
      </c>
      <c r="AH338" s="26"/>
      <c r="AI338" s="18">
        <v>22</v>
      </c>
      <c r="AJ338" s="25">
        <f>SUM(AU338:AU348)</f>
        <v>22</v>
      </c>
      <c r="AK338" s="27">
        <f>SUM(AT338:AT348)</f>
        <v>138</v>
      </c>
      <c r="AL338" s="14">
        <f>IF(UPPER(TRIM(AG338))="ATKT",0,ROUND( (SUM(AT338:AT348) /22), 2))</f>
        <v>6.27</v>
      </c>
      <c r="AM338" s="20"/>
      <c r="AN338" s="20"/>
      <c r="AO338" s="20"/>
      <c r="AP338" s="20"/>
      <c r="AQ338" s="18"/>
      <c r="AR338" s="14" t="str">
        <f t="shared" ref="AR338:AR348" si="393">IF(AL338&gt;=9,"O", IF(AL338&gt;=8,"A+", IF(AL338&gt;=7,"A", IF(AL338&gt;=6,"B+", IF(AL338&gt;=5.5,"B", IF(AL338&gt;=5,"C", IF(AL338&gt;=4,"D","F")))))))</f>
        <v>B+</v>
      </c>
      <c r="AS338" s="28">
        <f t="shared" ref="AS338:AS348" si="394">IF(AX338&gt;=90,10,
IF(AX338&gt;=80,9,
IF(AX338&gt;=70,8,
IF(AX338&gt;=60,7,
IF(AX338&gt;=55,6,
IF(AX338&gt;=50,5,
IF(AX338&gt;=40,4,0)))))))</f>
        <v>9</v>
      </c>
      <c r="AT338" s="28">
        <f t="shared" ref="AT338:AT348" si="395">AS338*I338</f>
        <v>18</v>
      </c>
      <c r="AU338" s="24">
        <f>IF(OR(UPPER(TRIM(AC338))="AB", AC338=901, AC338="901"), 0, IF(ISNUMBER(MATCH(UPPER(TRIM(AC338)), {"A+","A","B+","B","C","D","P"}, 0)), 2, 0))</f>
        <v>2</v>
      </c>
      <c r="AV338" s="24">
        <f t="shared" ref="AV338:AV348" si="396">SUM(
IF(OR(UPPER(TRIM(J338))="AB",J338=901,J338="901"),0,IFERROR(VALUE(J338),0)),
IF(OR(UPPER(TRIM(L338))="AB",L338=901,L338="901"),0,IFERROR(VALUE(L338),0)),
IF(OR(UPPER(TRIM(N338))="AB",N338=901,N338="901"),0,IFERROR(VALUE(N338),0))
)</f>
        <v>43</v>
      </c>
      <c r="AW338" s="19">
        <f t="shared" ref="AW338:AW348" si="397">AA338+AV338</f>
        <v>43</v>
      </c>
      <c r="AX338" s="18">
        <f t="shared" ref="AX338:AX348" si="398">(AW338 / 50) * 100</f>
        <v>86</v>
      </c>
      <c r="AY338" s="24">
        <f>SUM(AW338:AW348)</f>
        <v>333</v>
      </c>
    </row>
    <row r="339" spans="1:51">
      <c r="A339" s="7">
        <v>5068083</v>
      </c>
      <c r="B339" s="7"/>
      <c r="C339" s="33" t="s">
        <v>92</v>
      </c>
      <c r="D339" s="1" t="s">
        <v>47</v>
      </c>
      <c r="E339" s="3">
        <v>1</v>
      </c>
      <c r="F339" s="1" t="s">
        <v>48</v>
      </c>
      <c r="G339" s="1">
        <v>1171312</v>
      </c>
      <c r="H339" s="2" t="s">
        <v>51</v>
      </c>
      <c r="I339" s="5" t="s">
        <v>50</v>
      </c>
      <c r="J339" s="1">
        <v>18</v>
      </c>
      <c r="K339" s="13" t="str">
        <f t="shared" ref="K339:K348" si="399">IF(OR(UPPER(TRIM(J339))="AB",J339=901,J339="901"),"F",IF(J339&gt;=8,"P","F"))</f>
        <v>P</v>
      </c>
      <c r="L339" s="1">
        <v>12</v>
      </c>
      <c r="M339" s="13" t="str">
        <f t="shared" ref="M339:M348" si="400">IF(OR(UPPER(TRIM(L339))="AB",L339=901,L339="901"),"F",IF(L339&gt;=8,"P","F"))</f>
        <v>P</v>
      </c>
      <c r="AB339" s="7" t="str">
        <f t="shared" si="391"/>
        <v>30</v>
      </c>
      <c r="AC339" s="13" t="str">
        <f t="shared" si="392"/>
        <v>B+</v>
      </c>
      <c r="AD339" s="13" t="str">
        <f>AD338</f>
        <v>333</v>
      </c>
      <c r="AE339" s="1">
        <v>550</v>
      </c>
      <c r="AF339" s="15">
        <f t="shared" ref="AF339:AG348" si="401">AF338</f>
        <v>60.545454545454547</v>
      </c>
      <c r="AG339" s="13" t="str">
        <f t="shared" si="401"/>
        <v>PASS</v>
      </c>
      <c r="AI339" s="1">
        <v>22</v>
      </c>
      <c r="AJ339" s="15">
        <f>AJ338</f>
        <v>22</v>
      </c>
      <c r="AK339" s="16">
        <f>AK338</f>
        <v>138</v>
      </c>
      <c r="AL339" s="7">
        <f>AL338</f>
        <v>6.27</v>
      </c>
      <c r="AR339" s="7" t="str">
        <f t="shared" si="393"/>
        <v>B+</v>
      </c>
      <c r="AS339" s="8">
        <f t="shared" si="394"/>
        <v>7</v>
      </c>
      <c r="AT339" s="8">
        <f t="shared" si="395"/>
        <v>14</v>
      </c>
      <c r="AU339" s="13">
        <f>IF(OR(UPPER(TRIM(AC339))="AB", AC339=901, AC339="901"), 0, IF(ISNUMBER(MATCH(UPPER(TRIM(AC339)), {"A+","A","B+","B","C","D","P"}, 0)), 2, 0))</f>
        <v>2</v>
      </c>
      <c r="AV339" s="13">
        <f t="shared" si="396"/>
        <v>30</v>
      </c>
      <c r="AW339">
        <f t="shared" si="397"/>
        <v>30</v>
      </c>
      <c r="AX339" s="1">
        <f t="shared" si="398"/>
        <v>60</v>
      </c>
      <c r="AY339" s="13">
        <f t="shared" ref="AY339:AY348" si="402">AY338</f>
        <v>333</v>
      </c>
    </row>
    <row r="340" spans="1:51">
      <c r="A340" s="7">
        <v>5068083</v>
      </c>
      <c r="B340" s="7"/>
      <c r="C340" s="33" t="s">
        <v>92</v>
      </c>
      <c r="D340" s="1" t="s">
        <v>47</v>
      </c>
      <c r="E340" s="3">
        <v>1</v>
      </c>
      <c r="F340" s="1" t="s">
        <v>48</v>
      </c>
      <c r="G340" s="1">
        <v>1461111</v>
      </c>
      <c r="H340" s="2" t="s">
        <v>52</v>
      </c>
      <c r="I340" s="5" t="s">
        <v>50</v>
      </c>
      <c r="J340" s="1">
        <v>14</v>
      </c>
      <c r="K340" s="13" t="str">
        <f t="shared" si="399"/>
        <v>P</v>
      </c>
      <c r="L340" s="1">
        <v>12</v>
      </c>
      <c r="M340" s="13" t="str">
        <f t="shared" si="400"/>
        <v>P</v>
      </c>
      <c r="AB340" s="7" t="str">
        <f t="shared" si="391"/>
        <v>26</v>
      </c>
      <c r="AC340" s="13" t="str">
        <f t="shared" si="392"/>
        <v>C</v>
      </c>
      <c r="AD340" s="13" t="str">
        <f t="shared" ref="AD340:AD348" si="403">AD339</f>
        <v>333</v>
      </c>
      <c r="AE340" s="1">
        <v>550</v>
      </c>
      <c r="AF340" s="15">
        <f t="shared" si="401"/>
        <v>60.545454545454547</v>
      </c>
      <c r="AG340" s="13" t="str">
        <f t="shared" si="401"/>
        <v>PASS</v>
      </c>
      <c r="AI340" s="1">
        <v>22</v>
      </c>
      <c r="AJ340" s="15">
        <f t="shared" ref="AJ340:AL348" si="404">AJ339</f>
        <v>22</v>
      </c>
      <c r="AK340" s="16">
        <f t="shared" si="404"/>
        <v>138</v>
      </c>
      <c r="AL340" s="7">
        <f t="shared" si="404"/>
        <v>6.27</v>
      </c>
      <c r="AR340" s="7" t="str">
        <f t="shared" si="393"/>
        <v>B+</v>
      </c>
      <c r="AS340" s="8">
        <f t="shared" si="394"/>
        <v>5</v>
      </c>
      <c r="AT340" s="8">
        <f t="shared" si="395"/>
        <v>10</v>
      </c>
      <c r="AU340" s="13">
        <f>IF(OR(UPPER(TRIM(AC340))="AB", AC340=901, AC340="901"), 0, IF(ISNUMBER(MATCH(UPPER(TRIM(AC340)), {"A+","A","B+","B","C","D","P"}, 0)), 2, 0))</f>
        <v>2</v>
      </c>
      <c r="AV340" s="13">
        <f t="shared" si="396"/>
        <v>26</v>
      </c>
      <c r="AW340">
        <f t="shared" si="397"/>
        <v>26</v>
      </c>
      <c r="AX340" s="1">
        <f t="shared" si="398"/>
        <v>52</v>
      </c>
      <c r="AY340" s="13">
        <f t="shared" si="402"/>
        <v>333</v>
      </c>
    </row>
    <row r="341" spans="1:51">
      <c r="A341" s="7">
        <v>5068083</v>
      </c>
      <c r="B341" s="7"/>
      <c r="C341" s="33" t="s">
        <v>92</v>
      </c>
      <c r="D341" s="1" t="s">
        <v>47</v>
      </c>
      <c r="E341" s="3">
        <v>1</v>
      </c>
      <c r="F341" s="1" t="s">
        <v>48</v>
      </c>
      <c r="G341" s="1">
        <v>1461112</v>
      </c>
      <c r="H341" s="2" t="s">
        <v>53</v>
      </c>
      <c r="I341" s="5" t="s">
        <v>50</v>
      </c>
      <c r="J341" s="1">
        <v>14</v>
      </c>
      <c r="K341" s="13" t="str">
        <f t="shared" si="399"/>
        <v>P</v>
      </c>
      <c r="L341" s="1">
        <v>12</v>
      </c>
      <c r="M341" s="13" t="str">
        <f t="shared" si="400"/>
        <v>P</v>
      </c>
      <c r="AB341" s="7" t="str">
        <f t="shared" si="391"/>
        <v>26</v>
      </c>
      <c r="AC341" s="13" t="str">
        <f t="shared" si="392"/>
        <v>C</v>
      </c>
      <c r="AD341" s="13" t="str">
        <f t="shared" si="403"/>
        <v>333</v>
      </c>
      <c r="AE341" s="1">
        <v>550</v>
      </c>
      <c r="AF341" s="15">
        <f t="shared" si="401"/>
        <v>60.545454545454547</v>
      </c>
      <c r="AG341" s="13" t="str">
        <f t="shared" si="401"/>
        <v>PASS</v>
      </c>
      <c r="AI341" s="1">
        <v>22</v>
      </c>
      <c r="AJ341" s="15">
        <f t="shared" si="404"/>
        <v>22</v>
      </c>
      <c r="AK341" s="16">
        <f t="shared" si="404"/>
        <v>138</v>
      </c>
      <c r="AL341" s="7">
        <f t="shared" si="404"/>
        <v>6.27</v>
      </c>
      <c r="AR341" s="7" t="str">
        <f t="shared" si="393"/>
        <v>B+</v>
      </c>
      <c r="AS341" s="8">
        <f t="shared" si="394"/>
        <v>5</v>
      </c>
      <c r="AT341" s="8">
        <f t="shared" si="395"/>
        <v>10</v>
      </c>
      <c r="AU341" s="13">
        <f>IF(OR(UPPER(TRIM(AC341))="AB", AC341=901, AC341="901"), 0, IF(ISNUMBER(MATCH(UPPER(TRIM(AC341)), {"A+","A","B+","B","C","D","P"}, 0)), 2, 0))</f>
        <v>2</v>
      </c>
      <c r="AV341" s="13">
        <f t="shared" si="396"/>
        <v>26</v>
      </c>
      <c r="AW341">
        <f t="shared" si="397"/>
        <v>26</v>
      </c>
      <c r="AX341" s="1">
        <f t="shared" si="398"/>
        <v>52</v>
      </c>
      <c r="AY341" s="13">
        <f t="shared" si="402"/>
        <v>333</v>
      </c>
    </row>
    <row r="342" spans="1:51">
      <c r="A342" s="7">
        <v>5068083</v>
      </c>
      <c r="B342" s="7"/>
      <c r="C342" s="33" t="s">
        <v>92</v>
      </c>
      <c r="D342" s="1" t="s">
        <v>47</v>
      </c>
      <c r="E342" s="3">
        <v>1</v>
      </c>
      <c r="F342" s="1" t="s">
        <v>48</v>
      </c>
      <c r="G342" s="1">
        <v>1461113</v>
      </c>
      <c r="H342" s="2" t="s">
        <v>54</v>
      </c>
      <c r="I342" s="5" t="s">
        <v>50</v>
      </c>
      <c r="J342" s="1">
        <v>18</v>
      </c>
      <c r="K342" s="13" t="str">
        <f t="shared" si="399"/>
        <v>P</v>
      </c>
      <c r="L342" s="1">
        <v>12</v>
      </c>
      <c r="M342" s="13" t="str">
        <f t="shared" si="400"/>
        <v>P</v>
      </c>
      <c r="AB342" s="7" t="str">
        <f t="shared" si="391"/>
        <v>30</v>
      </c>
      <c r="AC342" s="13" t="str">
        <f t="shared" si="392"/>
        <v>B+</v>
      </c>
      <c r="AD342" s="13" t="str">
        <f t="shared" si="403"/>
        <v>333</v>
      </c>
      <c r="AE342" s="1">
        <v>550</v>
      </c>
      <c r="AF342" s="15">
        <f t="shared" si="401"/>
        <v>60.545454545454547</v>
      </c>
      <c r="AG342" s="13" t="str">
        <f t="shared" si="401"/>
        <v>PASS</v>
      </c>
      <c r="AI342" s="1">
        <v>22</v>
      </c>
      <c r="AJ342" s="15">
        <f t="shared" si="404"/>
        <v>22</v>
      </c>
      <c r="AK342" s="16">
        <f t="shared" si="404"/>
        <v>138</v>
      </c>
      <c r="AL342" s="7">
        <f t="shared" si="404"/>
        <v>6.27</v>
      </c>
      <c r="AR342" s="7" t="str">
        <f t="shared" si="393"/>
        <v>B+</v>
      </c>
      <c r="AS342" s="8">
        <f t="shared" si="394"/>
        <v>7</v>
      </c>
      <c r="AT342" s="8">
        <f t="shared" si="395"/>
        <v>14</v>
      </c>
      <c r="AU342" s="13">
        <f>IF(OR(UPPER(TRIM(AC342))="AB", AC342=901, AC342="901"), 0, IF(ISNUMBER(MATCH(UPPER(TRIM(AC342)), {"A+","A","B+","B","C","D","P"}, 0)), 2, 0))</f>
        <v>2</v>
      </c>
      <c r="AV342" s="13">
        <f t="shared" si="396"/>
        <v>30</v>
      </c>
      <c r="AW342">
        <f t="shared" si="397"/>
        <v>30</v>
      </c>
      <c r="AX342" s="1">
        <f t="shared" si="398"/>
        <v>60</v>
      </c>
      <c r="AY342" s="13">
        <f t="shared" si="402"/>
        <v>333</v>
      </c>
    </row>
    <row r="343" spans="1:51">
      <c r="A343" s="7">
        <v>5068083</v>
      </c>
      <c r="B343" s="7"/>
      <c r="C343" s="33" t="s">
        <v>92</v>
      </c>
      <c r="D343" s="1" t="s">
        <v>47</v>
      </c>
      <c r="E343" s="3">
        <v>1</v>
      </c>
      <c r="F343" s="1" t="s">
        <v>48</v>
      </c>
      <c r="G343" s="1">
        <v>1461411</v>
      </c>
      <c r="H343" s="2" t="s">
        <v>55</v>
      </c>
      <c r="I343" s="5" t="s">
        <v>50</v>
      </c>
      <c r="J343" s="1">
        <v>17</v>
      </c>
      <c r="K343" s="13" t="str">
        <f t="shared" si="399"/>
        <v>P</v>
      </c>
      <c r="L343" s="1">
        <v>12</v>
      </c>
      <c r="M343" s="13" t="str">
        <f t="shared" si="400"/>
        <v>P</v>
      </c>
      <c r="AB343" s="7" t="str">
        <f t="shared" si="391"/>
        <v>29</v>
      </c>
      <c r="AC343" s="13" t="str">
        <f t="shared" si="392"/>
        <v>B</v>
      </c>
      <c r="AD343" s="13" t="str">
        <f t="shared" si="403"/>
        <v>333</v>
      </c>
      <c r="AE343" s="1">
        <v>550</v>
      </c>
      <c r="AF343" s="15">
        <f t="shared" si="401"/>
        <v>60.545454545454547</v>
      </c>
      <c r="AG343" s="13" t="str">
        <f t="shared" si="401"/>
        <v>PASS</v>
      </c>
      <c r="AI343" s="1">
        <v>22</v>
      </c>
      <c r="AJ343" s="15">
        <f t="shared" si="404"/>
        <v>22</v>
      </c>
      <c r="AK343" s="16">
        <f t="shared" si="404"/>
        <v>138</v>
      </c>
      <c r="AL343" s="7">
        <f t="shared" si="404"/>
        <v>6.27</v>
      </c>
      <c r="AR343" s="7" t="str">
        <f t="shared" si="393"/>
        <v>B+</v>
      </c>
      <c r="AS343" s="8">
        <f t="shared" si="394"/>
        <v>6</v>
      </c>
      <c r="AT343" s="8">
        <f t="shared" si="395"/>
        <v>12</v>
      </c>
      <c r="AU343" s="13">
        <f>IF(OR(UPPER(TRIM(AC343))="AB", AC343=901, AC343="901"), 0, IF(ISNUMBER(MATCH(UPPER(TRIM(AC343)), {"A+","A","B+","B","C","D","P"}, 0)), 2, 0))</f>
        <v>2</v>
      </c>
      <c r="AV343" s="13">
        <f t="shared" si="396"/>
        <v>29</v>
      </c>
      <c r="AW343">
        <f t="shared" si="397"/>
        <v>29</v>
      </c>
      <c r="AX343" s="1">
        <f t="shared" si="398"/>
        <v>57.999999999999993</v>
      </c>
      <c r="AY343" s="13">
        <f t="shared" si="402"/>
        <v>333</v>
      </c>
    </row>
    <row r="344" spans="1:51">
      <c r="A344" s="7">
        <v>5068083</v>
      </c>
      <c r="B344" s="7"/>
      <c r="C344" s="33" t="s">
        <v>92</v>
      </c>
      <c r="D344" s="1" t="s">
        <v>47</v>
      </c>
      <c r="E344" s="3">
        <v>1</v>
      </c>
      <c r="F344" s="1" t="s">
        <v>48</v>
      </c>
      <c r="G344" s="1">
        <v>1461412</v>
      </c>
      <c r="H344" s="2" t="s">
        <v>56</v>
      </c>
      <c r="I344" s="5" t="s">
        <v>50</v>
      </c>
      <c r="J344" s="1">
        <v>14</v>
      </c>
      <c r="K344" s="13" t="str">
        <f t="shared" si="399"/>
        <v>P</v>
      </c>
      <c r="L344" s="1">
        <v>17</v>
      </c>
      <c r="M344" s="13" t="str">
        <f t="shared" si="400"/>
        <v>P</v>
      </c>
      <c r="AB344" s="7" t="str">
        <f t="shared" si="391"/>
        <v>31</v>
      </c>
      <c r="AC344" s="13" t="str">
        <f t="shared" si="392"/>
        <v>B+</v>
      </c>
      <c r="AD344" s="13" t="str">
        <f t="shared" si="403"/>
        <v>333</v>
      </c>
      <c r="AE344" s="1">
        <v>550</v>
      </c>
      <c r="AF344" s="15">
        <f t="shared" si="401"/>
        <v>60.545454545454547</v>
      </c>
      <c r="AG344" s="13" t="str">
        <f t="shared" si="401"/>
        <v>PASS</v>
      </c>
      <c r="AI344" s="1">
        <v>22</v>
      </c>
      <c r="AJ344" s="15">
        <f t="shared" si="404"/>
        <v>22</v>
      </c>
      <c r="AK344" s="16">
        <f t="shared" si="404"/>
        <v>138</v>
      </c>
      <c r="AL344" s="7">
        <f t="shared" si="404"/>
        <v>6.27</v>
      </c>
      <c r="AR344" s="7" t="str">
        <f t="shared" si="393"/>
        <v>B+</v>
      </c>
      <c r="AS344" s="8">
        <f t="shared" si="394"/>
        <v>7</v>
      </c>
      <c r="AT344" s="8">
        <f t="shared" si="395"/>
        <v>14</v>
      </c>
      <c r="AU344" s="13">
        <f>IF(OR(UPPER(TRIM(AC344))="AB", AC344=901, AC344="901"), 0, IF(ISNUMBER(MATCH(UPPER(TRIM(AC344)), {"A+","A","B+","B","C","D","P"}, 0)), 2, 0))</f>
        <v>2</v>
      </c>
      <c r="AV344" s="13">
        <f t="shared" si="396"/>
        <v>31</v>
      </c>
      <c r="AW344">
        <f t="shared" si="397"/>
        <v>31</v>
      </c>
      <c r="AX344" s="1">
        <f t="shared" si="398"/>
        <v>62</v>
      </c>
      <c r="AY344" s="13">
        <f t="shared" si="402"/>
        <v>333</v>
      </c>
    </row>
    <row r="345" spans="1:51">
      <c r="A345" s="7">
        <v>5068083</v>
      </c>
      <c r="B345" s="7"/>
      <c r="C345" s="33" t="s">
        <v>92</v>
      </c>
      <c r="D345" s="1" t="s">
        <v>47</v>
      </c>
      <c r="E345" s="3">
        <v>1</v>
      </c>
      <c r="F345" s="1" t="s">
        <v>48</v>
      </c>
      <c r="G345" s="1">
        <v>2511515</v>
      </c>
      <c r="H345" s="2" t="s">
        <v>57</v>
      </c>
      <c r="I345" s="5" t="s">
        <v>50</v>
      </c>
      <c r="J345" s="1">
        <v>14</v>
      </c>
      <c r="K345" s="13" t="str">
        <f t="shared" si="399"/>
        <v>P</v>
      </c>
      <c r="L345" s="1">
        <v>13</v>
      </c>
      <c r="M345" s="13" t="str">
        <f t="shared" si="400"/>
        <v>P</v>
      </c>
      <c r="AB345" s="7" t="str">
        <f t="shared" si="391"/>
        <v>27</v>
      </c>
      <c r="AC345" s="13" t="str">
        <f t="shared" si="392"/>
        <v>C</v>
      </c>
      <c r="AD345" s="13" t="str">
        <f t="shared" si="403"/>
        <v>333</v>
      </c>
      <c r="AE345" s="1">
        <v>550</v>
      </c>
      <c r="AF345" s="15">
        <f t="shared" si="401"/>
        <v>60.545454545454547</v>
      </c>
      <c r="AG345" s="13" t="str">
        <f t="shared" si="401"/>
        <v>PASS</v>
      </c>
      <c r="AI345" s="1">
        <v>22</v>
      </c>
      <c r="AJ345" s="15">
        <f t="shared" si="404"/>
        <v>22</v>
      </c>
      <c r="AK345" s="16">
        <f t="shared" si="404"/>
        <v>138</v>
      </c>
      <c r="AL345" s="7">
        <f t="shared" si="404"/>
        <v>6.27</v>
      </c>
      <c r="AR345" s="7" t="str">
        <f t="shared" si="393"/>
        <v>B+</v>
      </c>
      <c r="AS345" s="8">
        <f t="shared" si="394"/>
        <v>5</v>
      </c>
      <c r="AT345" s="8">
        <f t="shared" si="395"/>
        <v>10</v>
      </c>
      <c r="AU345" s="13">
        <f>IF(OR(UPPER(TRIM(AC345))="AB", AC345=901, AC345="901"), 0, IF(ISNUMBER(MATCH(UPPER(TRIM(AC345)), {"A+","A","B+","B","C","D","P"}, 0)), 2, 0))</f>
        <v>2</v>
      </c>
      <c r="AV345" s="13">
        <f t="shared" si="396"/>
        <v>27</v>
      </c>
      <c r="AW345">
        <f t="shared" si="397"/>
        <v>27</v>
      </c>
      <c r="AX345" s="1">
        <f t="shared" si="398"/>
        <v>54</v>
      </c>
      <c r="AY345" s="13">
        <f t="shared" si="402"/>
        <v>333</v>
      </c>
    </row>
    <row r="346" spans="1:51">
      <c r="A346" s="7">
        <v>5068083</v>
      </c>
      <c r="B346" s="7"/>
      <c r="C346" s="33" t="s">
        <v>92</v>
      </c>
      <c r="D346" s="1" t="s">
        <v>47</v>
      </c>
      <c r="E346" s="3">
        <v>1</v>
      </c>
      <c r="F346" s="1" t="s">
        <v>48</v>
      </c>
      <c r="G346" s="1">
        <v>2521615</v>
      </c>
      <c r="H346" s="4" t="s">
        <v>58</v>
      </c>
      <c r="I346" s="5" t="s">
        <v>50</v>
      </c>
      <c r="J346" s="1">
        <v>19</v>
      </c>
      <c r="K346" s="13" t="str">
        <f t="shared" si="399"/>
        <v>P</v>
      </c>
      <c r="L346" s="1">
        <v>20</v>
      </c>
      <c r="M346" s="13" t="str">
        <f t="shared" si="400"/>
        <v>P</v>
      </c>
      <c r="AB346" s="7" t="str">
        <f t="shared" si="391"/>
        <v>39</v>
      </c>
      <c r="AC346" s="13" t="str">
        <f t="shared" si="392"/>
        <v>A</v>
      </c>
      <c r="AD346" s="13" t="str">
        <f t="shared" si="403"/>
        <v>333</v>
      </c>
      <c r="AE346" s="1">
        <v>550</v>
      </c>
      <c r="AF346" s="15">
        <f t="shared" si="401"/>
        <v>60.545454545454547</v>
      </c>
      <c r="AG346" s="13" t="str">
        <f t="shared" si="401"/>
        <v>PASS</v>
      </c>
      <c r="AI346" s="1">
        <v>22</v>
      </c>
      <c r="AJ346" s="15">
        <f t="shared" si="404"/>
        <v>22</v>
      </c>
      <c r="AK346" s="16">
        <f t="shared" si="404"/>
        <v>138</v>
      </c>
      <c r="AL346" s="7">
        <f t="shared" si="404"/>
        <v>6.27</v>
      </c>
      <c r="AR346" s="7" t="str">
        <f t="shared" si="393"/>
        <v>B+</v>
      </c>
      <c r="AS346" s="8">
        <f t="shared" si="394"/>
        <v>8</v>
      </c>
      <c r="AT346" s="8">
        <f t="shared" si="395"/>
        <v>16</v>
      </c>
      <c r="AU346" s="13">
        <f>IF(OR(UPPER(TRIM(AC346))="AB", AC346=901, AC346="901"), 0, IF(ISNUMBER(MATCH(UPPER(TRIM(AC346)), {"A+","A","B+","B","C","D","P"}, 0)), 2, 0))</f>
        <v>2</v>
      </c>
      <c r="AV346" s="13">
        <f t="shared" si="396"/>
        <v>39</v>
      </c>
      <c r="AW346">
        <f t="shared" si="397"/>
        <v>39</v>
      </c>
      <c r="AX346" s="1">
        <f t="shared" si="398"/>
        <v>78</v>
      </c>
      <c r="AY346" s="13">
        <f t="shared" si="402"/>
        <v>333</v>
      </c>
    </row>
    <row r="347" spans="1:51">
      <c r="A347" s="7">
        <v>5068083</v>
      </c>
      <c r="B347" s="7"/>
      <c r="C347" s="33" t="s">
        <v>92</v>
      </c>
      <c r="D347" s="1" t="s">
        <v>47</v>
      </c>
      <c r="E347" s="3">
        <v>1</v>
      </c>
      <c r="F347" s="1" t="s">
        <v>48</v>
      </c>
      <c r="G347" s="1">
        <v>2531511</v>
      </c>
      <c r="H347" s="2" t="s">
        <v>59</v>
      </c>
      <c r="I347" s="5" t="s">
        <v>50</v>
      </c>
      <c r="J347" s="1">
        <v>12</v>
      </c>
      <c r="K347" s="13" t="str">
        <f t="shared" si="399"/>
        <v>P</v>
      </c>
      <c r="L347" s="1">
        <v>12</v>
      </c>
      <c r="M347" s="13" t="str">
        <f t="shared" si="400"/>
        <v>P</v>
      </c>
      <c r="AB347" s="7" t="str">
        <f t="shared" si="391"/>
        <v>24</v>
      </c>
      <c r="AC347" s="13" t="str">
        <f t="shared" si="392"/>
        <v>D</v>
      </c>
      <c r="AD347" s="13" t="str">
        <f t="shared" si="403"/>
        <v>333</v>
      </c>
      <c r="AE347" s="1">
        <v>550</v>
      </c>
      <c r="AF347" s="15">
        <f t="shared" si="401"/>
        <v>60.545454545454547</v>
      </c>
      <c r="AG347" s="13" t="str">
        <f t="shared" si="401"/>
        <v>PASS</v>
      </c>
      <c r="AI347" s="1">
        <v>22</v>
      </c>
      <c r="AJ347" s="15">
        <f t="shared" si="404"/>
        <v>22</v>
      </c>
      <c r="AK347" s="16">
        <f t="shared" si="404"/>
        <v>138</v>
      </c>
      <c r="AL347" s="7">
        <f t="shared" si="404"/>
        <v>6.27</v>
      </c>
      <c r="AR347" s="7" t="str">
        <f t="shared" si="393"/>
        <v>B+</v>
      </c>
      <c r="AS347" s="8">
        <f t="shared" si="394"/>
        <v>4</v>
      </c>
      <c r="AT347" s="8">
        <f t="shared" si="395"/>
        <v>8</v>
      </c>
      <c r="AU347" s="13">
        <f>IF(OR(UPPER(TRIM(AC347))="AB", AC347=901, AC347="901"), 0, IF(ISNUMBER(MATCH(UPPER(TRIM(AC347)), {"A+","A","B+","B","C","D","P"}, 0)), 2, 0))</f>
        <v>2</v>
      </c>
      <c r="AV347" s="13">
        <f t="shared" si="396"/>
        <v>24</v>
      </c>
      <c r="AW347">
        <f t="shared" si="397"/>
        <v>24</v>
      </c>
      <c r="AX347" s="1">
        <f t="shared" si="398"/>
        <v>48</v>
      </c>
      <c r="AY347" s="13">
        <f t="shared" si="402"/>
        <v>333</v>
      </c>
    </row>
    <row r="348" spans="1:51">
      <c r="A348" s="7">
        <v>5068083</v>
      </c>
      <c r="B348" s="7"/>
      <c r="C348" s="33" t="s">
        <v>92</v>
      </c>
      <c r="D348" s="1" t="s">
        <v>47</v>
      </c>
      <c r="E348" s="3">
        <v>1</v>
      </c>
      <c r="F348" s="1" t="s">
        <v>48</v>
      </c>
      <c r="G348" s="1">
        <v>2541515</v>
      </c>
      <c r="H348" s="2" t="s">
        <v>60</v>
      </c>
      <c r="I348" s="5" t="s">
        <v>50</v>
      </c>
      <c r="J348" s="1">
        <v>16</v>
      </c>
      <c r="K348" s="13" t="str">
        <f t="shared" si="399"/>
        <v>P</v>
      </c>
      <c r="L348" s="1">
        <v>12</v>
      </c>
      <c r="M348" s="13" t="str">
        <f t="shared" si="400"/>
        <v>P</v>
      </c>
      <c r="AB348" s="7" t="str">
        <f t="shared" si="391"/>
        <v>28</v>
      </c>
      <c r="AC348" s="13" t="str">
        <f t="shared" si="392"/>
        <v>B</v>
      </c>
      <c r="AD348" s="13" t="str">
        <f t="shared" si="403"/>
        <v>333</v>
      </c>
      <c r="AE348" s="1">
        <v>550</v>
      </c>
      <c r="AF348" s="15">
        <f t="shared" si="401"/>
        <v>60.545454545454547</v>
      </c>
      <c r="AG348" s="13" t="str">
        <f t="shared" si="401"/>
        <v>PASS</v>
      </c>
      <c r="AI348" s="1">
        <v>22</v>
      </c>
      <c r="AJ348" s="15">
        <f t="shared" si="404"/>
        <v>22</v>
      </c>
      <c r="AK348" s="16">
        <f t="shared" si="404"/>
        <v>138</v>
      </c>
      <c r="AL348" s="7">
        <f t="shared" si="404"/>
        <v>6.27</v>
      </c>
      <c r="AR348" s="7" t="str">
        <f t="shared" si="393"/>
        <v>B+</v>
      </c>
      <c r="AS348" s="8">
        <f t="shared" si="394"/>
        <v>6</v>
      </c>
      <c r="AT348" s="8">
        <f t="shared" si="395"/>
        <v>12</v>
      </c>
      <c r="AU348" s="13">
        <f>IF(OR(UPPER(TRIM(AC348))="AB", AC348=901, AC348="901"), 0, IF(ISNUMBER(MATCH(UPPER(TRIM(AC348)), {"A+","A","B+","B","C","D","P"}, 0)), 2, 0))</f>
        <v>2</v>
      </c>
      <c r="AV348" s="13">
        <f t="shared" si="396"/>
        <v>28</v>
      </c>
      <c r="AW348">
        <f t="shared" si="397"/>
        <v>28</v>
      </c>
      <c r="AX348" s="1">
        <f t="shared" si="398"/>
        <v>56.000000000000007</v>
      </c>
      <c r="AY348" s="13">
        <f t="shared" si="402"/>
        <v>333</v>
      </c>
    </row>
    <row r="350" spans="1:51">
      <c r="A350" s="7">
        <v>5239486</v>
      </c>
      <c r="B350" s="7"/>
      <c r="C350" s="33" t="s">
        <v>93</v>
      </c>
      <c r="D350" s="1" t="s">
        <v>47</v>
      </c>
      <c r="E350" s="3">
        <v>1</v>
      </c>
      <c r="F350" s="1" t="s">
        <v>48</v>
      </c>
      <c r="G350" s="1">
        <v>1011312</v>
      </c>
      <c r="H350" s="2" t="s">
        <v>49</v>
      </c>
      <c r="I350" s="5" t="s">
        <v>50</v>
      </c>
      <c r="J350" s="6">
        <v>15</v>
      </c>
      <c r="K350" s="13" t="str">
        <f>IF(OR(UPPER(TRIM(J350))="AB",J350=901,J350="901"),"F",IF(J350&gt;=8,"P","F"))</f>
        <v>P</v>
      </c>
      <c r="L350" s="1">
        <v>20</v>
      </c>
      <c r="M350" s="13" t="str">
        <f>IF(OR(UPPER(TRIM(L350))="AB",L350=901,L350="901"),"F",IF(L350&gt;=8,"P","F"))</f>
        <v>P</v>
      </c>
      <c r="N350" s="13"/>
      <c r="O350" s="13"/>
      <c r="P350" s="13"/>
      <c r="Q350" s="13"/>
      <c r="R350" s="13"/>
      <c r="S350" s="13"/>
      <c r="T350" s="13"/>
      <c r="U350" s="13"/>
      <c r="V350" s="13"/>
      <c r="W350" s="13"/>
      <c r="X350" s="13"/>
      <c r="Y350" s="13"/>
      <c r="Z350" s="13"/>
      <c r="AB350" s="7" t="str">
        <f t="shared" ref="AB350:AB360" si="405">AV350 &amp; IF(AA350&lt;&gt;"", " @ " &amp; AA350, "")</f>
        <v>35</v>
      </c>
      <c r="AC350" s="13" t="str">
        <f t="shared" ref="AC350:AC360" si="406">IF(AX350&gt;=90,"O",
IF(AX350&gt;=80,"A+",
IF(AX350&gt;=70,"A",
IF(AX350&gt;=60,"B+",
IF(AX350&gt;=55,"B",
IF(AX350&gt;=50,"C",
IF(AX350&gt;=40,"D","F")))))))</f>
        <v>A</v>
      </c>
      <c r="AD350" s="13" t="str">
        <f>SUM(AV350:AV360) &amp; IF(SUM(AA350:AA360)&gt;0, " @ " &amp; SUM(AA350:AA360), "")</f>
        <v>212</v>
      </c>
      <c r="AE350" s="1">
        <v>550</v>
      </c>
      <c r="AF350" s="15">
        <f>AY350/AE350*100</f>
        <v>38.545454545454547</v>
      </c>
      <c r="AG350" s="13" t="str" cm="1">
        <f t="array" ref="AG350">IF(
  SUMPRODUCT(--(IFERROR(VALUE(J350:J360),9999)&lt;8))
  + SUMPRODUCT(--(IFERROR(VALUE(L350:L360),9999)&lt;12))
  + COUNTIF(J350:J360,"AB") + COUNTIF(L350:L360,"AB")
  + COUNTIF(J350:J360,901) + COUNTIF(L350:L360,901) &gt; 0,
  "ATKT",
  "PASS"
)</f>
        <v>ATKT</v>
      </c>
      <c r="AI350" s="1">
        <v>22</v>
      </c>
      <c r="AJ350" s="15">
        <f>SUM(AU350:AU360)</f>
        <v>14</v>
      </c>
      <c r="AK350" s="16">
        <f>SUM(AT350:AT360)</f>
        <v>64</v>
      </c>
      <c r="AL350" s="7">
        <f>IF(UPPER(TRIM(AG350))="ATKT",0,ROUND( (SUM(AT350:AT360) /22), 2))</f>
        <v>0</v>
      </c>
      <c r="AR350" s="7" t="str">
        <f t="shared" ref="AR350:AR360" si="407">IF(AL350&gt;=9,"O", IF(AL350&gt;=8,"A+", IF(AL350&gt;=7,"A", IF(AL350&gt;=6,"B+", IF(AL350&gt;=5.5,"B", IF(AL350&gt;=5,"C", IF(AL350&gt;=4,"D","F")))))))</f>
        <v>F</v>
      </c>
      <c r="AS350" s="8">
        <f t="shared" ref="AS350:AS360" si="408">IF(AX350&gt;=90,10,
IF(AX350&gt;=80,9,
IF(AX350&gt;=70,8,
IF(AX350&gt;=60,7,
IF(AX350&gt;=55,6,
IF(AX350&gt;=50,5,
IF(AX350&gt;=40,4,0)))))))</f>
        <v>8</v>
      </c>
      <c r="AT350" s="8">
        <f t="shared" ref="AT350:AT360" si="409">AS350*I350</f>
        <v>16</v>
      </c>
      <c r="AU350" s="13">
        <f>IF(OR(UPPER(TRIM(AC350))="AB", AC350=901, AC350="901"), 0, IF(ISNUMBER(MATCH(UPPER(TRIM(AC350)), {"A+","A","B+","B","C","D","P"}, 0)), 2, 0))</f>
        <v>2</v>
      </c>
      <c r="AV350" s="13">
        <f t="shared" ref="AV350:AV360" si="410">SUM(
IF(OR(UPPER(TRIM(J350))="AB",J350=901,J350="901"),0,IFERROR(VALUE(J350),0)),
IF(OR(UPPER(TRIM(L350))="AB",L350=901,L350="901"),0,IFERROR(VALUE(L350),0)),
IF(OR(UPPER(TRIM(N350))="AB",N350=901,N350="901"),0,IFERROR(VALUE(N350),0))
)</f>
        <v>35</v>
      </c>
      <c r="AW350">
        <f t="shared" ref="AW350:AW360" si="411">AA350+AV350</f>
        <v>35</v>
      </c>
      <c r="AX350" s="1">
        <f t="shared" ref="AX350:AX360" si="412">(AW350 / 50) * 100</f>
        <v>70</v>
      </c>
      <c r="AY350" s="13">
        <f>SUM(AW350:AW360)</f>
        <v>212</v>
      </c>
    </row>
    <row r="351" spans="1:51">
      <c r="A351" s="7">
        <v>5239486</v>
      </c>
      <c r="B351" s="7"/>
      <c r="C351" s="33" t="s">
        <v>93</v>
      </c>
      <c r="D351" s="1" t="s">
        <v>47</v>
      </c>
      <c r="E351" s="3">
        <v>1</v>
      </c>
      <c r="F351" s="1" t="s">
        <v>48</v>
      </c>
      <c r="G351" s="1">
        <v>1171312</v>
      </c>
      <c r="H351" s="2" t="s">
        <v>51</v>
      </c>
      <c r="I351" s="5" t="s">
        <v>50</v>
      </c>
      <c r="J351" s="1">
        <v>12</v>
      </c>
      <c r="K351" s="13" t="str">
        <f t="shared" ref="K351:K360" si="413">IF(OR(UPPER(TRIM(J351))="AB",J351=901,J351="901"),"F",IF(J351&gt;=8,"P","F"))</f>
        <v>P</v>
      </c>
      <c r="L351" s="1">
        <v>12</v>
      </c>
      <c r="M351" s="13" t="str">
        <f t="shared" ref="M351:M360" si="414">IF(OR(UPPER(TRIM(L351))="AB",L351=901,L351="901"),"F",IF(L351&gt;=8,"P","F"))</f>
        <v>P</v>
      </c>
      <c r="AB351" s="7" t="str">
        <f t="shared" si="405"/>
        <v>24</v>
      </c>
      <c r="AC351" s="13" t="str">
        <f t="shared" si="406"/>
        <v>D</v>
      </c>
      <c r="AD351" s="13" t="str">
        <f>AD350</f>
        <v>212</v>
      </c>
      <c r="AE351" s="1">
        <v>550</v>
      </c>
      <c r="AF351" s="15">
        <f t="shared" ref="AF351:AG360" si="415">AF350</f>
        <v>38.545454545454547</v>
      </c>
      <c r="AG351" s="13" t="str">
        <f t="shared" si="415"/>
        <v>ATKT</v>
      </c>
      <c r="AI351" s="1">
        <v>22</v>
      </c>
      <c r="AJ351" s="15">
        <f>AJ350</f>
        <v>14</v>
      </c>
      <c r="AK351" s="16">
        <f>AK350</f>
        <v>64</v>
      </c>
      <c r="AL351" s="7">
        <f>AL350</f>
        <v>0</v>
      </c>
      <c r="AR351" s="7" t="str">
        <f t="shared" si="407"/>
        <v>F</v>
      </c>
      <c r="AS351" s="8">
        <f t="shared" si="408"/>
        <v>4</v>
      </c>
      <c r="AT351" s="8">
        <f t="shared" si="409"/>
        <v>8</v>
      </c>
      <c r="AU351" s="13">
        <f>IF(OR(UPPER(TRIM(AC351))="AB", AC351=901, AC351="901"), 0, IF(ISNUMBER(MATCH(UPPER(TRIM(AC351)), {"A+","A","B+","B","C","D","P"}, 0)), 2, 0))</f>
        <v>2</v>
      </c>
      <c r="AV351" s="13">
        <f t="shared" si="410"/>
        <v>24</v>
      </c>
      <c r="AW351">
        <f t="shared" si="411"/>
        <v>24</v>
      </c>
      <c r="AX351" s="1">
        <f t="shared" si="412"/>
        <v>48</v>
      </c>
      <c r="AY351" s="13">
        <f t="shared" ref="AY351:AY360" si="416">AY350</f>
        <v>212</v>
      </c>
    </row>
    <row r="352" spans="1:51">
      <c r="A352" s="7">
        <v>5239486</v>
      </c>
      <c r="B352" s="7"/>
      <c r="C352" s="33" t="s">
        <v>93</v>
      </c>
      <c r="D352" s="1" t="s">
        <v>47</v>
      </c>
      <c r="E352" s="3">
        <v>1</v>
      </c>
      <c r="F352" s="1" t="s">
        <v>48</v>
      </c>
      <c r="G352" s="1">
        <v>1461111</v>
      </c>
      <c r="H352" s="2" t="s">
        <v>52</v>
      </c>
      <c r="I352" s="5" t="s">
        <v>50</v>
      </c>
      <c r="J352" s="1">
        <v>9</v>
      </c>
      <c r="K352" s="13" t="str">
        <f t="shared" si="413"/>
        <v>P</v>
      </c>
      <c r="L352" s="1">
        <v>901</v>
      </c>
      <c r="M352" s="13" t="str">
        <f t="shared" si="414"/>
        <v>F</v>
      </c>
      <c r="AB352" s="7" t="str">
        <f t="shared" si="405"/>
        <v>9</v>
      </c>
      <c r="AC352" s="13" t="str">
        <f t="shared" si="406"/>
        <v>F</v>
      </c>
      <c r="AD352" s="13" t="str">
        <f t="shared" ref="AD352:AD360" si="417">AD351</f>
        <v>212</v>
      </c>
      <c r="AE352" s="1">
        <v>550</v>
      </c>
      <c r="AF352" s="15">
        <f t="shared" si="415"/>
        <v>38.545454545454547</v>
      </c>
      <c r="AG352" s="13" t="str">
        <f t="shared" si="415"/>
        <v>ATKT</v>
      </c>
      <c r="AI352" s="1">
        <v>22</v>
      </c>
      <c r="AJ352" s="15">
        <f t="shared" ref="AJ352:AL360" si="418">AJ351</f>
        <v>14</v>
      </c>
      <c r="AK352" s="16">
        <f t="shared" si="418"/>
        <v>64</v>
      </c>
      <c r="AL352" s="7">
        <f t="shared" si="418"/>
        <v>0</v>
      </c>
      <c r="AR352" s="7" t="str">
        <f t="shared" si="407"/>
        <v>F</v>
      </c>
      <c r="AS352" s="8">
        <f t="shared" si="408"/>
        <v>0</v>
      </c>
      <c r="AT352" s="8">
        <f t="shared" si="409"/>
        <v>0</v>
      </c>
      <c r="AU352" s="13">
        <f>IF(OR(UPPER(TRIM(AC352))="AB", AC352=901, AC352="901"), 0, IF(ISNUMBER(MATCH(UPPER(TRIM(AC352)), {"A+","A","B+","B","C","D","P"}, 0)), 2, 0))</f>
        <v>0</v>
      </c>
      <c r="AV352" s="13">
        <f t="shared" si="410"/>
        <v>9</v>
      </c>
      <c r="AW352">
        <f t="shared" si="411"/>
        <v>9</v>
      </c>
      <c r="AX352" s="1">
        <f t="shared" si="412"/>
        <v>18</v>
      </c>
      <c r="AY352" s="13">
        <f t="shared" si="416"/>
        <v>212</v>
      </c>
    </row>
    <row r="353" spans="1:51">
      <c r="A353" s="7">
        <v>5239486</v>
      </c>
      <c r="B353" s="7"/>
      <c r="C353" s="33" t="s">
        <v>93</v>
      </c>
      <c r="D353" s="1" t="s">
        <v>47</v>
      </c>
      <c r="E353" s="3">
        <v>1</v>
      </c>
      <c r="F353" s="1" t="s">
        <v>48</v>
      </c>
      <c r="G353" s="1">
        <v>1461112</v>
      </c>
      <c r="H353" s="2" t="s">
        <v>53</v>
      </c>
      <c r="I353" s="5" t="s">
        <v>50</v>
      </c>
      <c r="J353" s="1">
        <v>9</v>
      </c>
      <c r="K353" s="13" t="str">
        <f t="shared" si="413"/>
        <v>P</v>
      </c>
      <c r="L353" s="1">
        <v>901</v>
      </c>
      <c r="M353" s="13" t="str">
        <f t="shared" si="414"/>
        <v>F</v>
      </c>
      <c r="AB353" s="7" t="str">
        <f t="shared" si="405"/>
        <v>9</v>
      </c>
      <c r="AC353" s="13" t="str">
        <f t="shared" si="406"/>
        <v>F</v>
      </c>
      <c r="AD353" s="13" t="str">
        <f t="shared" si="417"/>
        <v>212</v>
      </c>
      <c r="AE353" s="1">
        <v>550</v>
      </c>
      <c r="AF353" s="15">
        <f t="shared" si="415"/>
        <v>38.545454545454547</v>
      </c>
      <c r="AG353" s="13" t="str">
        <f t="shared" si="415"/>
        <v>ATKT</v>
      </c>
      <c r="AI353" s="1">
        <v>22</v>
      </c>
      <c r="AJ353" s="15">
        <f t="shared" si="418"/>
        <v>14</v>
      </c>
      <c r="AK353" s="16">
        <f t="shared" si="418"/>
        <v>64</v>
      </c>
      <c r="AL353" s="7">
        <f t="shared" si="418"/>
        <v>0</v>
      </c>
      <c r="AR353" s="7" t="str">
        <f t="shared" si="407"/>
        <v>F</v>
      </c>
      <c r="AS353" s="8">
        <f t="shared" si="408"/>
        <v>0</v>
      </c>
      <c r="AT353" s="8">
        <f t="shared" si="409"/>
        <v>0</v>
      </c>
      <c r="AU353" s="13">
        <f>IF(OR(UPPER(TRIM(AC353))="AB", AC353=901, AC353="901"), 0, IF(ISNUMBER(MATCH(UPPER(TRIM(AC353)), {"A+","A","B+","B","C","D","P"}, 0)), 2, 0))</f>
        <v>0</v>
      </c>
      <c r="AV353" s="13">
        <f t="shared" si="410"/>
        <v>9</v>
      </c>
      <c r="AW353">
        <f t="shared" si="411"/>
        <v>9</v>
      </c>
      <c r="AX353" s="1">
        <f t="shared" si="412"/>
        <v>18</v>
      </c>
      <c r="AY353" s="13">
        <f t="shared" si="416"/>
        <v>212</v>
      </c>
    </row>
    <row r="354" spans="1:51">
      <c r="A354" s="7">
        <v>5239486</v>
      </c>
      <c r="B354" s="7"/>
      <c r="C354" s="33" t="s">
        <v>93</v>
      </c>
      <c r="D354" s="1" t="s">
        <v>47</v>
      </c>
      <c r="E354" s="3">
        <v>1</v>
      </c>
      <c r="F354" s="1" t="s">
        <v>48</v>
      </c>
      <c r="G354" s="1">
        <v>1461113</v>
      </c>
      <c r="H354" s="2" t="s">
        <v>54</v>
      </c>
      <c r="I354" s="5" t="s">
        <v>50</v>
      </c>
      <c r="J354" s="1">
        <v>10</v>
      </c>
      <c r="K354" s="13" t="str">
        <f t="shared" si="413"/>
        <v>P</v>
      </c>
      <c r="L354" s="1">
        <v>4</v>
      </c>
      <c r="M354" s="13" t="str">
        <f t="shared" si="414"/>
        <v>F</v>
      </c>
      <c r="AB354" s="7" t="str">
        <f t="shared" si="405"/>
        <v>14</v>
      </c>
      <c r="AC354" s="13" t="str">
        <f t="shared" si="406"/>
        <v>F</v>
      </c>
      <c r="AD354" s="13" t="str">
        <f t="shared" si="417"/>
        <v>212</v>
      </c>
      <c r="AE354" s="1">
        <v>550</v>
      </c>
      <c r="AF354" s="15">
        <f t="shared" si="415"/>
        <v>38.545454545454547</v>
      </c>
      <c r="AG354" s="13" t="str">
        <f t="shared" si="415"/>
        <v>ATKT</v>
      </c>
      <c r="AI354" s="1">
        <v>22</v>
      </c>
      <c r="AJ354" s="15">
        <f t="shared" si="418"/>
        <v>14</v>
      </c>
      <c r="AK354" s="16">
        <f t="shared" si="418"/>
        <v>64</v>
      </c>
      <c r="AL354" s="7">
        <f t="shared" si="418"/>
        <v>0</v>
      </c>
      <c r="AR354" s="7" t="str">
        <f t="shared" si="407"/>
        <v>F</v>
      </c>
      <c r="AS354" s="8">
        <f t="shared" si="408"/>
        <v>0</v>
      </c>
      <c r="AT354" s="8">
        <f t="shared" si="409"/>
        <v>0</v>
      </c>
      <c r="AU354" s="13">
        <f>IF(OR(UPPER(TRIM(AC354))="AB", AC354=901, AC354="901"), 0, IF(ISNUMBER(MATCH(UPPER(TRIM(AC354)), {"A+","A","B+","B","C","D","P"}, 0)), 2, 0))</f>
        <v>0</v>
      </c>
      <c r="AV354" s="13">
        <f t="shared" si="410"/>
        <v>14</v>
      </c>
      <c r="AW354">
        <f t="shared" si="411"/>
        <v>14</v>
      </c>
      <c r="AX354" s="1">
        <f t="shared" si="412"/>
        <v>28.000000000000004</v>
      </c>
      <c r="AY354" s="13">
        <f t="shared" si="416"/>
        <v>212</v>
      </c>
    </row>
    <row r="355" spans="1:51">
      <c r="A355" s="7">
        <v>5239486</v>
      </c>
      <c r="B355" s="7"/>
      <c r="C355" s="33" t="s">
        <v>93</v>
      </c>
      <c r="D355" s="1" t="s">
        <v>47</v>
      </c>
      <c r="E355" s="3">
        <v>1</v>
      </c>
      <c r="F355" s="1" t="s">
        <v>48</v>
      </c>
      <c r="G355" s="1">
        <v>1461411</v>
      </c>
      <c r="H355" s="2" t="s">
        <v>55</v>
      </c>
      <c r="I355" s="5" t="s">
        <v>50</v>
      </c>
      <c r="J355" s="1">
        <v>9</v>
      </c>
      <c r="K355" s="13" t="str">
        <f t="shared" si="413"/>
        <v>P</v>
      </c>
      <c r="L355" s="1">
        <v>12</v>
      </c>
      <c r="M355" s="13" t="str">
        <f t="shared" si="414"/>
        <v>P</v>
      </c>
      <c r="AB355" s="7" t="str">
        <f t="shared" si="405"/>
        <v>21</v>
      </c>
      <c r="AC355" s="13" t="str">
        <f t="shared" si="406"/>
        <v>D</v>
      </c>
      <c r="AD355" s="13" t="str">
        <f t="shared" si="417"/>
        <v>212</v>
      </c>
      <c r="AE355" s="1">
        <v>550</v>
      </c>
      <c r="AF355" s="15">
        <f t="shared" si="415"/>
        <v>38.545454545454547</v>
      </c>
      <c r="AG355" s="13" t="str">
        <f t="shared" si="415"/>
        <v>ATKT</v>
      </c>
      <c r="AI355" s="1">
        <v>22</v>
      </c>
      <c r="AJ355" s="15">
        <f t="shared" si="418"/>
        <v>14</v>
      </c>
      <c r="AK355" s="16">
        <f t="shared" si="418"/>
        <v>64</v>
      </c>
      <c r="AL355" s="7">
        <f t="shared" si="418"/>
        <v>0</v>
      </c>
      <c r="AR355" s="7" t="str">
        <f t="shared" si="407"/>
        <v>F</v>
      </c>
      <c r="AS355" s="8">
        <f t="shared" si="408"/>
        <v>4</v>
      </c>
      <c r="AT355" s="8">
        <f t="shared" si="409"/>
        <v>8</v>
      </c>
      <c r="AU355" s="13">
        <f>IF(OR(UPPER(TRIM(AC355))="AB", AC355=901, AC355="901"), 0, IF(ISNUMBER(MATCH(UPPER(TRIM(AC355)), {"A+","A","B+","B","C","D","P"}, 0)), 2, 0))</f>
        <v>2</v>
      </c>
      <c r="AV355" s="13">
        <f t="shared" si="410"/>
        <v>21</v>
      </c>
      <c r="AW355">
        <f t="shared" si="411"/>
        <v>21</v>
      </c>
      <c r="AX355" s="1">
        <f t="shared" si="412"/>
        <v>42</v>
      </c>
      <c r="AY355" s="13">
        <f t="shared" si="416"/>
        <v>212</v>
      </c>
    </row>
    <row r="356" spans="1:51">
      <c r="A356" s="7">
        <v>5239486</v>
      </c>
      <c r="B356" s="7"/>
      <c r="C356" s="33" t="s">
        <v>93</v>
      </c>
      <c r="D356" s="1" t="s">
        <v>47</v>
      </c>
      <c r="E356" s="3">
        <v>1</v>
      </c>
      <c r="F356" s="1" t="s">
        <v>48</v>
      </c>
      <c r="G356" s="1">
        <v>1461412</v>
      </c>
      <c r="H356" s="2" t="s">
        <v>56</v>
      </c>
      <c r="I356" s="5" t="s">
        <v>50</v>
      </c>
      <c r="J356" s="1">
        <v>9</v>
      </c>
      <c r="K356" s="13" t="str">
        <f t="shared" si="413"/>
        <v>P</v>
      </c>
      <c r="L356" s="1">
        <v>12</v>
      </c>
      <c r="M356" s="13" t="str">
        <f t="shared" si="414"/>
        <v>P</v>
      </c>
      <c r="AB356" s="7" t="str">
        <f t="shared" si="405"/>
        <v>21</v>
      </c>
      <c r="AC356" s="13" t="str">
        <f t="shared" si="406"/>
        <v>D</v>
      </c>
      <c r="AD356" s="13" t="str">
        <f t="shared" si="417"/>
        <v>212</v>
      </c>
      <c r="AE356" s="1">
        <v>550</v>
      </c>
      <c r="AF356" s="15">
        <f t="shared" si="415"/>
        <v>38.545454545454547</v>
      </c>
      <c r="AG356" s="13" t="str">
        <f t="shared" si="415"/>
        <v>ATKT</v>
      </c>
      <c r="AI356" s="1">
        <v>22</v>
      </c>
      <c r="AJ356" s="15">
        <f t="shared" si="418"/>
        <v>14</v>
      </c>
      <c r="AK356" s="16">
        <f t="shared" si="418"/>
        <v>64</v>
      </c>
      <c r="AL356" s="7">
        <f t="shared" si="418"/>
        <v>0</v>
      </c>
      <c r="AR356" s="7" t="str">
        <f t="shared" si="407"/>
        <v>F</v>
      </c>
      <c r="AS356" s="8">
        <f t="shared" si="408"/>
        <v>4</v>
      </c>
      <c r="AT356" s="8">
        <f t="shared" si="409"/>
        <v>8</v>
      </c>
      <c r="AU356" s="13">
        <f>IF(OR(UPPER(TRIM(AC356))="AB", AC356=901, AC356="901"), 0, IF(ISNUMBER(MATCH(UPPER(TRIM(AC356)), {"A+","A","B+","B","C","D","P"}, 0)), 2, 0))</f>
        <v>2</v>
      </c>
      <c r="AV356" s="13">
        <f t="shared" si="410"/>
        <v>21</v>
      </c>
      <c r="AW356">
        <f t="shared" si="411"/>
        <v>21</v>
      </c>
      <c r="AX356" s="1">
        <f t="shared" si="412"/>
        <v>42</v>
      </c>
      <c r="AY356" s="13">
        <f t="shared" si="416"/>
        <v>212</v>
      </c>
    </row>
    <row r="357" spans="1:51">
      <c r="A357" s="7">
        <v>5239486</v>
      </c>
      <c r="B357" s="7"/>
      <c r="C357" s="33" t="s">
        <v>93</v>
      </c>
      <c r="D357" s="1" t="s">
        <v>47</v>
      </c>
      <c r="E357" s="3">
        <v>1</v>
      </c>
      <c r="F357" s="1" t="s">
        <v>48</v>
      </c>
      <c r="G357" s="1">
        <v>2511515</v>
      </c>
      <c r="H357" s="2" t="s">
        <v>57</v>
      </c>
      <c r="I357" s="5" t="s">
        <v>50</v>
      </c>
      <c r="J357" s="1">
        <v>9</v>
      </c>
      <c r="K357" s="13" t="str">
        <f t="shared" si="413"/>
        <v>P</v>
      </c>
      <c r="L357" s="1">
        <v>14</v>
      </c>
      <c r="M357" s="13" t="str">
        <f t="shared" si="414"/>
        <v>P</v>
      </c>
      <c r="AB357" s="7" t="str">
        <f t="shared" si="405"/>
        <v>23</v>
      </c>
      <c r="AC357" s="13" t="str">
        <f t="shared" si="406"/>
        <v>D</v>
      </c>
      <c r="AD357" s="13" t="str">
        <f t="shared" si="417"/>
        <v>212</v>
      </c>
      <c r="AE357" s="1">
        <v>550</v>
      </c>
      <c r="AF357" s="15">
        <f t="shared" si="415"/>
        <v>38.545454545454547</v>
      </c>
      <c r="AG357" s="13" t="str">
        <f t="shared" si="415"/>
        <v>ATKT</v>
      </c>
      <c r="AI357" s="1">
        <v>22</v>
      </c>
      <c r="AJ357" s="15">
        <f t="shared" si="418"/>
        <v>14</v>
      </c>
      <c r="AK357" s="16">
        <f t="shared" si="418"/>
        <v>64</v>
      </c>
      <c r="AL357" s="7">
        <f t="shared" si="418"/>
        <v>0</v>
      </c>
      <c r="AR357" s="7" t="str">
        <f t="shared" si="407"/>
        <v>F</v>
      </c>
      <c r="AS357" s="8">
        <f t="shared" si="408"/>
        <v>4</v>
      </c>
      <c r="AT357" s="8">
        <f t="shared" si="409"/>
        <v>8</v>
      </c>
      <c r="AU357" s="13">
        <f>IF(OR(UPPER(TRIM(AC357))="AB", AC357=901, AC357="901"), 0, IF(ISNUMBER(MATCH(UPPER(TRIM(AC357)), {"A+","A","B+","B","C","D","P"}, 0)), 2, 0))</f>
        <v>2</v>
      </c>
      <c r="AV357" s="13">
        <f t="shared" si="410"/>
        <v>23</v>
      </c>
      <c r="AW357">
        <f t="shared" si="411"/>
        <v>23</v>
      </c>
      <c r="AX357" s="1">
        <f t="shared" si="412"/>
        <v>46</v>
      </c>
      <c r="AY357" s="13">
        <f t="shared" si="416"/>
        <v>212</v>
      </c>
    </row>
    <row r="358" spans="1:51">
      <c r="A358" s="7">
        <v>5239486</v>
      </c>
      <c r="B358" s="7"/>
      <c r="C358" s="33" t="s">
        <v>93</v>
      </c>
      <c r="D358" s="1" t="s">
        <v>47</v>
      </c>
      <c r="E358" s="3">
        <v>1</v>
      </c>
      <c r="F358" s="1" t="s">
        <v>48</v>
      </c>
      <c r="G358" s="1">
        <v>2521615</v>
      </c>
      <c r="H358" s="4" t="s">
        <v>58</v>
      </c>
      <c r="I358" s="5" t="s">
        <v>50</v>
      </c>
      <c r="J358" s="1">
        <v>10</v>
      </c>
      <c r="K358" s="13" t="str">
        <f t="shared" si="413"/>
        <v>P</v>
      </c>
      <c r="L358" s="1">
        <v>12</v>
      </c>
      <c r="M358" s="13" t="str">
        <f t="shared" si="414"/>
        <v>P</v>
      </c>
      <c r="AB358" s="7" t="str">
        <f t="shared" si="405"/>
        <v>22</v>
      </c>
      <c r="AC358" s="13" t="str">
        <f t="shared" si="406"/>
        <v>D</v>
      </c>
      <c r="AD358" s="13" t="str">
        <f t="shared" si="417"/>
        <v>212</v>
      </c>
      <c r="AE358" s="1">
        <v>550</v>
      </c>
      <c r="AF358" s="15">
        <f t="shared" si="415"/>
        <v>38.545454545454547</v>
      </c>
      <c r="AG358" s="13" t="str">
        <f t="shared" si="415"/>
        <v>ATKT</v>
      </c>
      <c r="AI358" s="1">
        <v>22</v>
      </c>
      <c r="AJ358" s="15">
        <f t="shared" si="418"/>
        <v>14</v>
      </c>
      <c r="AK358" s="16">
        <f t="shared" si="418"/>
        <v>64</v>
      </c>
      <c r="AL358" s="7">
        <f t="shared" si="418"/>
        <v>0</v>
      </c>
      <c r="AR358" s="7" t="str">
        <f t="shared" si="407"/>
        <v>F</v>
      </c>
      <c r="AS358" s="8">
        <f t="shared" si="408"/>
        <v>4</v>
      </c>
      <c r="AT358" s="8">
        <f t="shared" si="409"/>
        <v>8</v>
      </c>
      <c r="AU358" s="13">
        <f>IF(OR(UPPER(TRIM(AC358))="AB", AC358=901, AC358="901"), 0, IF(ISNUMBER(MATCH(UPPER(TRIM(AC358)), {"A+","A","B+","B","C","D","P"}, 0)), 2, 0))</f>
        <v>2</v>
      </c>
      <c r="AV358" s="13">
        <f t="shared" si="410"/>
        <v>22</v>
      </c>
      <c r="AW358">
        <f t="shared" si="411"/>
        <v>22</v>
      </c>
      <c r="AX358" s="1">
        <f t="shared" si="412"/>
        <v>44</v>
      </c>
      <c r="AY358" s="13">
        <f t="shared" si="416"/>
        <v>212</v>
      </c>
    </row>
    <row r="359" spans="1:51">
      <c r="A359" s="7">
        <v>5239486</v>
      </c>
      <c r="B359" s="7"/>
      <c r="C359" s="33" t="s">
        <v>93</v>
      </c>
      <c r="D359" s="1" t="s">
        <v>47</v>
      </c>
      <c r="E359" s="3">
        <v>1</v>
      </c>
      <c r="F359" s="1" t="s">
        <v>48</v>
      </c>
      <c r="G359" s="1">
        <v>2531511</v>
      </c>
      <c r="H359" s="2" t="s">
        <v>59</v>
      </c>
      <c r="I359" s="5" t="s">
        <v>50</v>
      </c>
      <c r="J359" s="1">
        <v>10</v>
      </c>
      <c r="K359" s="13" t="str">
        <f t="shared" si="413"/>
        <v>P</v>
      </c>
      <c r="L359" s="1">
        <v>12</v>
      </c>
      <c r="M359" s="13" t="str">
        <f t="shared" si="414"/>
        <v>P</v>
      </c>
      <c r="AB359" s="7" t="str">
        <f t="shared" si="405"/>
        <v>22</v>
      </c>
      <c r="AC359" s="13" t="str">
        <f t="shared" si="406"/>
        <v>D</v>
      </c>
      <c r="AD359" s="13" t="str">
        <f t="shared" si="417"/>
        <v>212</v>
      </c>
      <c r="AE359" s="1">
        <v>550</v>
      </c>
      <c r="AF359" s="15">
        <f t="shared" si="415"/>
        <v>38.545454545454547</v>
      </c>
      <c r="AG359" s="13" t="str">
        <f t="shared" si="415"/>
        <v>ATKT</v>
      </c>
      <c r="AI359" s="1">
        <v>22</v>
      </c>
      <c r="AJ359" s="15">
        <f t="shared" si="418"/>
        <v>14</v>
      </c>
      <c r="AK359" s="16">
        <f t="shared" si="418"/>
        <v>64</v>
      </c>
      <c r="AL359" s="7">
        <f t="shared" si="418"/>
        <v>0</v>
      </c>
      <c r="AR359" s="7" t="str">
        <f t="shared" si="407"/>
        <v>F</v>
      </c>
      <c r="AS359" s="8">
        <f t="shared" si="408"/>
        <v>4</v>
      </c>
      <c r="AT359" s="8">
        <f t="shared" si="409"/>
        <v>8</v>
      </c>
      <c r="AU359" s="13">
        <f>IF(OR(UPPER(TRIM(AC359))="AB", AC359=901, AC359="901"), 0, IF(ISNUMBER(MATCH(UPPER(TRIM(AC359)), {"A+","A","B+","B","C","D","P"}, 0)), 2, 0))</f>
        <v>2</v>
      </c>
      <c r="AV359" s="13">
        <f t="shared" si="410"/>
        <v>22</v>
      </c>
      <c r="AW359">
        <f t="shared" si="411"/>
        <v>22</v>
      </c>
      <c r="AX359" s="1">
        <f t="shared" si="412"/>
        <v>44</v>
      </c>
      <c r="AY359" s="13">
        <f t="shared" si="416"/>
        <v>212</v>
      </c>
    </row>
    <row r="360" spans="1:51">
      <c r="A360" s="7">
        <v>5239486</v>
      </c>
      <c r="B360" s="7"/>
      <c r="C360" s="33" t="s">
        <v>93</v>
      </c>
      <c r="D360" s="1" t="s">
        <v>47</v>
      </c>
      <c r="E360" s="3">
        <v>1</v>
      </c>
      <c r="F360" s="1" t="s">
        <v>48</v>
      </c>
      <c r="G360" s="1">
        <v>2541515</v>
      </c>
      <c r="H360" s="2" t="s">
        <v>60</v>
      </c>
      <c r="I360" s="5" t="s">
        <v>50</v>
      </c>
      <c r="J360" s="1">
        <v>12</v>
      </c>
      <c r="K360" s="13" t="str">
        <f t="shared" si="413"/>
        <v>P</v>
      </c>
      <c r="L360" s="6">
        <v>0</v>
      </c>
      <c r="M360" s="13" t="str">
        <f t="shared" si="414"/>
        <v>F</v>
      </c>
      <c r="AB360" s="7" t="str">
        <f t="shared" si="405"/>
        <v>12</v>
      </c>
      <c r="AC360" s="13" t="str">
        <f t="shared" si="406"/>
        <v>F</v>
      </c>
      <c r="AD360" s="13" t="str">
        <f t="shared" si="417"/>
        <v>212</v>
      </c>
      <c r="AE360" s="1">
        <v>550</v>
      </c>
      <c r="AF360" s="15">
        <f t="shared" si="415"/>
        <v>38.545454545454547</v>
      </c>
      <c r="AG360" s="13" t="str">
        <f t="shared" si="415"/>
        <v>ATKT</v>
      </c>
      <c r="AI360" s="1">
        <v>22</v>
      </c>
      <c r="AJ360" s="15">
        <f t="shared" si="418"/>
        <v>14</v>
      </c>
      <c r="AK360" s="16">
        <f t="shared" si="418"/>
        <v>64</v>
      </c>
      <c r="AL360" s="7">
        <f t="shared" si="418"/>
        <v>0</v>
      </c>
      <c r="AR360" s="7" t="str">
        <f t="shared" si="407"/>
        <v>F</v>
      </c>
      <c r="AS360" s="8">
        <f t="shared" si="408"/>
        <v>0</v>
      </c>
      <c r="AT360" s="8">
        <f t="shared" si="409"/>
        <v>0</v>
      </c>
      <c r="AU360" s="13">
        <f>IF(OR(UPPER(TRIM(AC360))="AB", AC360=901, AC360="901"), 0, IF(ISNUMBER(MATCH(UPPER(TRIM(AC360)), {"A+","A","B+","B","C","D","P"}, 0)), 2, 0))</f>
        <v>0</v>
      </c>
      <c r="AV360" s="13">
        <f t="shared" si="410"/>
        <v>12</v>
      </c>
      <c r="AW360">
        <f t="shared" si="411"/>
        <v>12</v>
      </c>
      <c r="AX360" s="1">
        <f t="shared" si="412"/>
        <v>24</v>
      </c>
      <c r="AY360" s="13">
        <f t="shared" si="416"/>
        <v>212</v>
      </c>
    </row>
    <row r="362" spans="1:51">
      <c r="A362" s="7">
        <v>5076967</v>
      </c>
      <c r="B362" s="7"/>
      <c r="C362" s="33" t="s">
        <v>94</v>
      </c>
      <c r="D362" s="1" t="s">
        <v>47</v>
      </c>
      <c r="E362" s="3">
        <v>1</v>
      </c>
      <c r="F362" s="1" t="s">
        <v>48</v>
      </c>
      <c r="G362" s="1">
        <v>1011312</v>
      </c>
      <c r="H362" s="2" t="s">
        <v>49</v>
      </c>
      <c r="I362" s="5" t="s">
        <v>50</v>
      </c>
      <c r="J362" s="6">
        <v>901</v>
      </c>
      <c r="K362" s="13" t="str">
        <f>IF(OR(UPPER(TRIM(J362))="AB",J362=901,J362="901"),"F",IF(J362&gt;=8,"P","F"))</f>
        <v>F</v>
      </c>
      <c r="L362" s="1">
        <v>901</v>
      </c>
      <c r="M362" s="13" t="str">
        <f>IF(OR(UPPER(TRIM(L362))="AB",L362=901,L362="901"),"F",IF(L362&gt;=8,"P","F"))</f>
        <v>F</v>
      </c>
      <c r="N362" s="13"/>
      <c r="O362" s="13"/>
      <c r="P362" s="13"/>
      <c r="Q362" s="13"/>
      <c r="R362" s="13"/>
      <c r="S362" s="13"/>
      <c r="T362" s="13"/>
      <c r="U362" s="13"/>
      <c r="V362" s="13"/>
      <c r="W362" s="13"/>
      <c r="X362" s="13"/>
      <c r="Y362" s="13"/>
      <c r="Z362" s="13"/>
      <c r="AB362" s="7" t="str">
        <f t="shared" ref="AB362:AB372" si="419">AV362 &amp; IF(AA362&lt;&gt;"", " @ " &amp; AA362, "")</f>
        <v>0</v>
      </c>
      <c r="AC362" s="13" t="str">
        <f t="shared" ref="AC362:AC372" si="420">IF(AX362&gt;=90,"O",
IF(AX362&gt;=80,"A+",
IF(AX362&gt;=70,"A",
IF(AX362&gt;=60,"B+",
IF(AX362&gt;=55,"B",
IF(AX362&gt;=50,"C",
IF(AX362&gt;=40,"D","F")))))))</f>
        <v>F</v>
      </c>
      <c r="AD362" s="13" t="str">
        <f>SUM(AV362:AV372) &amp; IF(SUM(AA362:AA372)&gt;0, " @ " &amp; SUM(AA362:AA372), "")</f>
        <v>171</v>
      </c>
      <c r="AE362" s="1">
        <v>550</v>
      </c>
      <c r="AF362" s="15">
        <f>AY362/AE362*100</f>
        <v>31.09090909090909</v>
      </c>
      <c r="AG362" s="13" t="str" cm="1">
        <f t="array" ref="AG362">IF(
  SUMPRODUCT(--(IFERROR(VALUE(J362:J372),9999)&lt;8))
  + SUMPRODUCT(--(IFERROR(VALUE(L362:L372),9999)&lt;12))
  + COUNTIF(J362:J372,"AB") + COUNTIF(L362:L372,"AB")
  + COUNTIF(J362:J372,901) + COUNTIF(L362:L372,901) &gt; 0,
  "ATKT",
  "PASS"
)</f>
        <v>ATKT</v>
      </c>
      <c r="AI362" s="1">
        <v>22</v>
      </c>
      <c r="AJ362" s="15">
        <f>SUM(AU362:AU372)</f>
        <v>10</v>
      </c>
      <c r="AK362" s="16">
        <f>SUM(AT362:AT372)</f>
        <v>42</v>
      </c>
      <c r="AL362" s="7">
        <f>IF(UPPER(TRIM(AG362))="ATKT",0,ROUND( (SUM(AT362:AT372) /22), 2))</f>
        <v>0</v>
      </c>
      <c r="AR362" s="7" t="str">
        <f t="shared" ref="AR362:AR372" si="421">IF(AL362&gt;=9,"O", IF(AL362&gt;=8,"A+", IF(AL362&gt;=7,"A", IF(AL362&gt;=6,"B+", IF(AL362&gt;=5.5,"B", IF(AL362&gt;=5,"C", IF(AL362&gt;=4,"D","F")))))))</f>
        <v>F</v>
      </c>
      <c r="AS362" s="8">
        <f t="shared" ref="AS362:AS372" si="422">IF(AX362&gt;=90,10,
IF(AX362&gt;=80,9,
IF(AX362&gt;=70,8,
IF(AX362&gt;=60,7,
IF(AX362&gt;=55,6,
IF(AX362&gt;=50,5,
IF(AX362&gt;=40,4,0)))))))</f>
        <v>0</v>
      </c>
      <c r="AT362" s="8">
        <f t="shared" ref="AT362:AT372" si="423">AS362*I362</f>
        <v>0</v>
      </c>
      <c r="AU362" s="13">
        <f>IF(OR(UPPER(TRIM(AC362))="AB", AC362=901, AC362="901"), 0, IF(ISNUMBER(MATCH(UPPER(TRIM(AC362)), {"A+","A","B+","B","C","D","P"}, 0)), 2, 0))</f>
        <v>0</v>
      </c>
      <c r="AV362" s="13">
        <f t="shared" ref="AV362:AV372" si="424">SUM(
IF(OR(UPPER(TRIM(J362))="AB",J362=901,J362="901"),0,IFERROR(VALUE(J362),0)),
IF(OR(UPPER(TRIM(L362))="AB",L362=901,L362="901"),0,IFERROR(VALUE(L362),0)),
IF(OR(UPPER(TRIM(N362))="AB",N362=901,N362="901"),0,IFERROR(VALUE(N362),0))
)</f>
        <v>0</v>
      </c>
      <c r="AW362">
        <f t="shared" ref="AW362:AW372" si="425">AA362+AV362</f>
        <v>0</v>
      </c>
      <c r="AX362" s="1">
        <f t="shared" ref="AX362:AX372" si="426">(AW362 / 50) * 100</f>
        <v>0</v>
      </c>
      <c r="AY362" s="13">
        <f>SUM(AW362:AW372)</f>
        <v>171</v>
      </c>
    </row>
    <row r="363" spans="1:51">
      <c r="A363" s="7">
        <v>5076967</v>
      </c>
      <c r="B363" s="7"/>
      <c r="C363" s="33" t="s">
        <v>94</v>
      </c>
      <c r="D363" s="1" t="s">
        <v>47</v>
      </c>
      <c r="E363" s="3">
        <v>1</v>
      </c>
      <c r="F363" s="1" t="s">
        <v>48</v>
      </c>
      <c r="G363" s="1">
        <v>1171312</v>
      </c>
      <c r="H363" s="2" t="s">
        <v>51</v>
      </c>
      <c r="I363" s="5" t="s">
        <v>50</v>
      </c>
      <c r="J363" s="1">
        <v>12</v>
      </c>
      <c r="K363" s="13" t="str">
        <f t="shared" ref="K363:K372" si="427">IF(OR(UPPER(TRIM(J363))="AB",J363=901,J363="901"),"F",IF(J363&gt;=8,"P","F"))</f>
        <v>P</v>
      </c>
      <c r="L363" s="1">
        <v>4</v>
      </c>
      <c r="M363" s="13" t="str">
        <f t="shared" ref="M363:M372" si="428">IF(OR(UPPER(TRIM(L363))="AB",L363=901,L363="901"),"F",IF(L363&gt;=8,"P","F"))</f>
        <v>F</v>
      </c>
      <c r="AB363" s="7" t="str">
        <f t="shared" si="419"/>
        <v>16</v>
      </c>
      <c r="AC363" s="13" t="str">
        <f t="shared" si="420"/>
        <v>F</v>
      </c>
      <c r="AD363" s="13" t="str">
        <f>AD362</f>
        <v>171</v>
      </c>
      <c r="AE363" s="1">
        <v>550</v>
      </c>
      <c r="AF363" s="15">
        <f t="shared" ref="AF363:AG372" si="429">AF362</f>
        <v>31.09090909090909</v>
      </c>
      <c r="AG363" s="13" t="str">
        <f t="shared" si="429"/>
        <v>ATKT</v>
      </c>
      <c r="AI363" s="1">
        <v>22</v>
      </c>
      <c r="AJ363" s="15">
        <f>AJ362</f>
        <v>10</v>
      </c>
      <c r="AK363" s="16">
        <f>AK362</f>
        <v>42</v>
      </c>
      <c r="AL363" s="7">
        <f>AL362</f>
        <v>0</v>
      </c>
      <c r="AR363" s="7" t="str">
        <f t="shared" si="421"/>
        <v>F</v>
      </c>
      <c r="AS363" s="8">
        <f t="shared" si="422"/>
        <v>0</v>
      </c>
      <c r="AT363" s="8">
        <f t="shared" si="423"/>
        <v>0</v>
      </c>
      <c r="AU363" s="13">
        <f>IF(OR(UPPER(TRIM(AC363))="AB", AC363=901, AC363="901"), 0, IF(ISNUMBER(MATCH(UPPER(TRIM(AC363)), {"A+","A","B+","B","C","D","P"}, 0)), 2, 0))</f>
        <v>0</v>
      </c>
      <c r="AV363" s="13">
        <f t="shared" si="424"/>
        <v>16</v>
      </c>
      <c r="AW363">
        <f t="shared" si="425"/>
        <v>16</v>
      </c>
      <c r="AX363" s="1">
        <f t="shared" si="426"/>
        <v>32</v>
      </c>
      <c r="AY363" s="13">
        <f t="shared" ref="AY363:AY372" si="430">AY362</f>
        <v>171</v>
      </c>
    </row>
    <row r="364" spans="1:51">
      <c r="A364" s="7">
        <v>5076967</v>
      </c>
      <c r="B364" s="7"/>
      <c r="C364" s="33" t="s">
        <v>94</v>
      </c>
      <c r="D364" s="1" t="s">
        <v>47</v>
      </c>
      <c r="E364" s="3">
        <v>1</v>
      </c>
      <c r="F364" s="1" t="s">
        <v>48</v>
      </c>
      <c r="G364" s="1">
        <v>1461111</v>
      </c>
      <c r="H364" s="2" t="s">
        <v>52</v>
      </c>
      <c r="I364" s="5" t="s">
        <v>50</v>
      </c>
      <c r="J364" s="1">
        <v>9</v>
      </c>
      <c r="K364" s="13" t="str">
        <f t="shared" si="427"/>
        <v>P</v>
      </c>
      <c r="L364" s="1">
        <v>5</v>
      </c>
      <c r="M364" s="13" t="str">
        <f t="shared" si="428"/>
        <v>F</v>
      </c>
      <c r="AB364" s="7" t="str">
        <f t="shared" si="419"/>
        <v>14</v>
      </c>
      <c r="AC364" s="13" t="str">
        <f t="shared" si="420"/>
        <v>F</v>
      </c>
      <c r="AD364" s="13" t="str">
        <f t="shared" ref="AD364:AD372" si="431">AD363</f>
        <v>171</v>
      </c>
      <c r="AE364" s="1">
        <v>550</v>
      </c>
      <c r="AF364" s="15">
        <f t="shared" si="429"/>
        <v>31.09090909090909</v>
      </c>
      <c r="AG364" s="13" t="str">
        <f t="shared" si="429"/>
        <v>ATKT</v>
      </c>
      <c r="AI364" s="1">
        <v>22</v>
      </c>
      <c r="AJ364" s="15">
        <f t="shared" ref="AJ364:AL372" si="432">AJ363</f>
        <v>10</v>
      </c>
      <c r="AK364" s="16">
        <f t="shared" si="432"/>
        <v>42</v>
      </c>
      <c r="AL364" s="7">
        <f t="shared" si="432"/>
        <v>0</v>
      </c>
      <c r="AR364" s="7" t="str">
        <f t="shared" si="421"/>
        <v>F</v>
      </c>
      <c r="AS364" s="8">
        <f t="shared" si="422"/>
        <v>0</v>
      </c>
      <c r="AT364" s="8">
        <f t="shared" si="423"/>
        <v>0</v>
      </c>
      <c r="AU364" s="13">
        <f>IF(OR(UPPER(TRIM(AC364))="AB", AC364=901, AC364="901"), 0, IF(ISNUMBER(MATCH(UPPER(TRIM(AC364)), {"A+","A","B+","B","C","D","P"}, 0)), 2, 0))</f>
        <v>0</v>
      </c>
      <c r="AV364" s="13">
        <f t="shared" si="424"/>
        <v>14</v>
      </c>
      <c r="AW364">
        <f t="shared" si="425"/>
        <v>14</v>
      </c>
      <c r="AX364" s="1">
        <f t="shared" si="426"/>
        <v>28.000000000000004</v>
      </c>
      <c r="AY364" s="13">
        <f t="shared" si="430"/>
        <v>171</v>
      </c>
    </row>
    <row r="365" spans="1:51">
      <c r="A365" s="7">
        <v>5076967</v>
      </c>
      <c r="B365" s="7"/>
      <c r="C365" s="33" t="s">
        <v>94</v>
      </c>
      <c r="D365" s="1" t="s">
        <v>47</v>
      </c>
      <c r="E365" s="3">
        <v>1</v>
      </c>
      <c r="F365" s="1" t="s">
        <v>48</v>
      </c>
      <c r="G365" s="1">
        <v>1461112</v>
      </c>
      <c r="H365" s="2" t="s">
        <v>53</v>
      </c>
      <c r="I365" s="5" t="s">
        <v>50</v>
      </c>
      <c r="J365" s="1">
        <v>9</v>
      </c>
      <c r="K365" s="13" t="str">
        <f t="shared" si="427"/>
        <v>P</v>
      </c>
      <c r="L365" s="1">
        <v>4</v>
      </c>
      <c r="M365" s="13" t="str">
        <f t="shared" si="428"/>
        <v>F</v>
      </c>
      <c r="AB365" s="7" t="str">
        <f t="shared" si="419"/>
        <v>13</v>
      </c>
      <c r="AC365" s="13" t="str">
        <f t="shared" si="420"/>
        <v>F</v>
      </c>
      <c r="AD365" s="13" t="str">
        <f t="shared" si="431"/>
        <v>171</v>
      </c>
      <c r="AE365" s="1">
        <v>550</v>
      </c>
      <c r="AF365" s="15">
        <f t="shared" si="429"/>
        <v>31.09090909090909</v>
      </c>
      <c r="AG365" s="13" t="str">
        <f t="shared" si="429"/>
        <v>ATKT</v>
      </c>
      <c r="AI365" s="1">
        <v>22</v>
      </c>
      <c r="AJ365" s="15">
        <f t="shared" si="432"/>
        <v>10</v>
      </c>
      <c r="AK365" s="16">
        <f t="shared" si="432"/>
        <v>42</v>
      </c>
      <c r="AL365" s="7">
        <f t="shared" si="432"/>
        <v>0</v>
      </c>
      <c r="AR365" s="7" t="str">
        <f t="shared" si="421"/>
        <v>F</v>
      </c>
      <c r="AS365" s="8">
        <f t="shared" si="422"/>
        <v>0</v>
      </c>
      <c r="AT365" s="8">
        <f t="shared" si="423"/>
        <v>0</v>
      </c>
      <c r="AU365" s="13">
        <f>IF(OR(UPPER(TRIM(AC365))="AB", AC365=901, AC365="901"), 0, IF(ISNUMBER(MATCH(UPPER(TRIM(AC365)), {"A+","A","B+","B","C","D","P"}, 0)), 2, 0))</f>
        <v>0</v>
      </c>
      <c r="AV365" s="13">
        <f t="shared" si="424"/>
        <v>13</v>
      </c>
      <c r="AW365">
        <f t="shared" si="425"/>
        <v>13</v>
      </c>
      <c r="AX365" s="1">
        <f t="shared" si="426"/>
        <v>26</v>
      </c>
      <c r="AY365" s="13">
        <f t="shared" si="430"/>
        <v>171</v>
      </c>
    </row>
    <row r="366" spans="1:51">
      <c r="A366" s="7">
        <v>5076967</v>
      </c>
      <c r="B366" s="7"/>
      <c r="C366" s="33" t="s">
        <v>94</v>
      </c>
      <c r="D366" s="1" t="s">
        <v>47</v>
      </c>
      <c r="E366" s="3">
        <v>1</v>
      </c>
      <c r="F366" s="1" t="s">
        <v>48</v>
      </c>
      <c r="G366" s="1">
        <v>1461113</v>
      </c>
      <c r="H366" s="2" t="s">
        <v>54</v>
      </c>
      <c r="I366" s="5" t="s">
        <v>50</v>
      </c>
      <c r="J366" s="1">
        <v>10</v>
      </c>
      <c r="K366" s="13" t="str">
        <f t="shared" si="427"/>
        <v>P</v>
      </c>
      <c r="L366" s="1">
        <v>14</v>
      </c>
      <c r="M366" s="13" t="str">
        <f t="shared" si="428"/>
        <v>P</v>
      </c>
      <c r="AB366" s="7" t="str">
        <f t="shared" si="419"/>
        <v>24</v>
      </c>
      <c r="AC366" s="13" t="str">
        <f t="shared" si="420"/>
        <v>D</v>
      </c>
      <c r="AD366" s="13" t="str">
        <f t="shared" si="431"/>
        <v>171</v>
      </c>
      <c r="AE366" s="1">
        <v>550</v>
      </c>
      <c r="AF366" s="15">
        <f t="shared" si="429"/>
        <v>31.09090909090909</v>
      </c>
      <c r="AG366" s="13" t="str">
        <f t="shared" si="429"/>
        <v>ATKT</v>
      </c>
      <c r="AI366" s="1">
        <v>22</v>
      </c>
      <c r="AJ366" s="15">
        <f t="shared" si="432"/>
        <v>10</v>
      </c>
      <c r="AK366" s="16">
        <f t="shared" si="432"/>
        <v>42</v>
      </c>
      <c r="AL366" s="7">
        <f t="shared" si="432"/>
        <v>0</v>
      </c>
      <c r="AR366" s="7" t="str">
        <f t="shared" si="421"/>
        <v>F</v>
      </c>
      <c r="AS366" s="8">
        <f t="shared" si="422"/>
        <v>4</v>
      </c>
      <c r="AT366" s="8">
        <f t="shared" si="423"/>
        <v>8</v>
      </c>
      <c r="AU366" s="13">
        <f>IF(OR(UPPER(TRIM(AC366))="AB", AC366=901, AC366="901"), 0, IF(ISNUMBER(MATCH(UPPER(TRIM(AC366)), {"A+","A","B+","B","C","D","P"}, 0)), 2, 0))</f>
        <v>2</v>
      </c>
      <c r="AV366" s="13">
        <f t="shared" si="424"/>
        <v>24</v>
      </c>
      <c r="AW366">
        <f t="shared" si="425"/>
        <v>24</v>
      </c>
      <c r="AX366" s="1">
        <f t="shared" si="426"/>
        <v>48</v>
      </c>
      <c r="AY366" s="13">
        <f t="shared" si="430"/>
        <v>171</v>
      </c>
    </row>
    <row r="367" spans="1:51">
      <c r="A367" s="7">
        <v>5076967</v>
      </c>
      <c r="B367" s="7"/>
      <c r="C367" s="33" t="s">
        <v>94</v>
      </c>
      <c r="D367" s="1" t="s">
        <v>47</v>
      </c>
      <c r="E367" s="3">
        <v>1</v>
      </c>
      <c r="F367" s="1" t="s">
        <v>48</v>
      </c>
      <c r="G367" s="1">
        <v>1461411</v>
      </c>
      <c r="H367" s="2" t="s">
        <v>55</v>
      </c>
      <c r="I367" s="5" t="s">
        <v>50</v>
      </c>
      <c r="J367" s="1">
        <v>8</v>
      </c>
      <c r="K367" s="13" t="str">
        <f t="shared" si="427"/>
        <v>P</v>
      </c>
      <c r="L367" s="1">
        <v>12</v>
      </c>
      <c r="M367" s="13" t="str">
        <f t="shared" si="428"/>
        <v>P</v>
      </c>
      <c r="AB367" s="7" t="str">
        <f t="shared" si="419"/>
        <v>20</v>
      </c>
      <c r="AC367" s="13" t="str">
        <f t="shared" si="420"/>
        <v>D</v>
      </c>
      <c r="AD367" s="13" t="str">
        <f t="shared" si="431"/>
        <v>171</v>
      </c>
      <c r="AE367" s="1">
        <v>550</v>
      </c>
      <c r="AF367" s="15">
        <f t="shared" si="429"/>
        <v>31.09090909090909</v>
      </c>
      <c r="AG367" s="13" t="str">
        <f t="shared" si="429"/>
        <v>ATKT</v>
      </c>
      <c r="AI367" s="1">
        <v>22</v>
      </c>
      <c r="AJ367" s="15">
        <f t="shared" si="432"/>
        <v>10</v>
      </c>
      <c r="AK367" s="16">
        <f t="shared" si="432"/>
        <v>42</v>
      </c>
      <c r="AL367" s="7">
        <f t="shared" si="432"/>
        <v>0</v>
      </c>
      <c r="AR367" s="7" t="str">
        <f t="shared" si="421"/>
        <v>F</v>
      </c>
      <c r="AS367" s="8">
        <f t="shared" si="422"/>
        <v>4</v>
      </c>
      <c r="AT367" s="8">
        <f t="shared" si="423"/>
        <v>8</v>
      </c>
      <c r="AU367" s="13">
        <f>IF(OR(UPPER(TRIM(AC367))="AB", AC367=901, AC367="901"), 0, IF(ISNUMBER(MATCH(UPPER(TRIM(AC367)), {"A+","A","B+","B","C","D","P"}, 0)), 2, 0))</f>
        <v>2</v>
      </c>
      <c r="AV367" s="13">
        <f t="shared" si="424"/>
        <v>20</v>
      </c>
      <c r="AW367">
        <f t="shared" si="425"/>
        <v>20</v>
      </c>
      <c r="AX367" s="1">
        <f t="shared" si="426"/>
        <v>40</v>
      </c>
      <c r="AY367" s="13">
        <f t="shared" si="430"/>
        <v>171</v>
      </c>
    </row>
    <row r="368" spans="1:51">
      <c r="A368" s="7">
        <v>5076967</v>
      </c>
      <c r="B368" s="7"/>
      <c r="C368" s="33" t="s">
        <v>94</v>
      </c>
      <c r="D368" s="1" t="s">
        <v>47</v>
      </c>
      <c r="E368" s="3">
        <v>1</v>
      </c>
      <c r="F368" s="1" t="s">
        <v>48</v>
      </c>
      <c r="G368" s="1">
        <v>1461412</v>
      </c>
      <c r="H368" s="2" t="s">
        <v>56</v>
      </c>
      <c r="I368" s="5" t="s">
        <v>50</v>
      </c>
      <c r="J368" s="1">
        <v>9</v>
      </c>
      <c r="K368" s="13" t="str">
        <f t="shared" si="427"/>
        <v>P</v>
      </c>
      <c r="L368" s="1">
        <v>0</v>
      </c>
      <c r="M368" s="13" t="str">
        <f t="shared" si="428"/>
        <v>F</v>
      </c>
      <c r="AB368" s="7" t="str">
        <f t="shared" si="419"/>
        <v>9</v>
      </c>
      <c r="AC368" s="13" t="str">
        <f t="shared" si="420"/>
        <v>F</v>
      </c>
      <c r="AD368" s="13" t="str">
        <f t="shared" si="431"/>
        <v>171</v>
      </c>
      <c r="AE368" s="1">
        <v>550</v>
      </c>
      <c r="AF368" s="15">
        <f t="shared" si="429"/>
        <v>31.09090909090909</v>
      </c>
      <c r="AG368" s="13" t="str">
        <f t="shared" si="429"/>
        <v>ATKT</v>
      </c>
      <c r="AI368" s="1">
        <v>22</v>
      </c>
      <c r="AJ368" s="15">
        <f t="shared" si="432"/>
        <v>10</v>
      </c>
      <c r="AK368" s="16">
        <f t="shared" si="432"/>
        <v>42</v>
      </c>
      <c r="AL368" s="7">
        <f t="shared" si="432"/>
        <v>0</v>
      </c>
      <c r="AR368" s="7" t="str">
        <f t="shared" si="421"/>
        <v>F</v>
      </c>
      <c r="AS368" s="8">
        <f t="shared" si="422"/>
        <v>0</v>
      </c>
      <c r="AT368" s="8">
        <f t="shared" si="423"/>
        <v>0</v>
      </c>
      <c r="AU368" s="13">
        <f>IF(OR(UPPER(TRIM(AC368))="AB", AC368=901, AC368="901"), 0, IF(ISNUMBER(MATCH(UPPER(TRIM(AC368)), {"A+","A","B+","B","C","D","P"}, 0)), 2, 0))</f>
        <v>0</v>
      </c>
      <c r="AV368" s="13">
        <f t="shared" si="424"/>
        <v>9</v>
      </c>
      <c r="AW368">
        <f t="shared" si="425"/>
        <v>9</v>
      </c>
      <c r="AX368" s="1">
        <f t="shared" si="426"/>
        <v>18</v>
      </c>
      <c r="AY368" s="13">
        <f t="shared" si="430"/>
        <v>171</v>
      </c>
    </row>
    <row r="369" spans="1:51">
      <c r="A369" s="7">
        <v>5076967</v>
      </c>
      <c r="B369" s="7"/>
      <c r="C369" s="33" t="s">
        <v>94</v>
      </c>
      <c r="D369" s="1" t="s">
        <v>47</v>
      </c>
      <c r="E369" s="3">
        <v>1</v>
      </c>
      <c r="F369" s="1" t="s">
        <v>48</v>
      </c>
      <c r="G369" s="1">
        <v>2511515</v>
      </c>
      <c r="H369" s="2" t="s">
        <v>57</v>
      </c>
      <c r="I369" s="5" t="s">
        <v>50</v>
      </c>
      <c r="J369" s="1">
        <v>9</v>
      </c>
      <c r="K369" s="13" t="str">
        <f t="shared" si="427"/>
        <v>P</v>
      </c>
      <c r="L369" s="1">
        <v>12</v>
      </c>
      <c r="M369" s="13" t="str">
        <f t="shared" si="428"/>
        <v>P</v>
      </c>
      <c r="AB369" s="7" t="str">
        <f t="shared" si="419"/>
        <v>21</v>
      </c>
      <c r="AC369" s="13" t="str">
        <f t="shared" si="420"/>
        <v>D</v>
      </c>
      <c r="AD369" s="13" t="str">
        <f t="shared" si="431"/>
        <v>171</v>
      </c>
      <c r="AE369" s="1">
        <v>550</v>
      </c>
      <c r="AF369" s="15">
        <f t="shared" si="429"/>
        <v>31.09090909090909</v>
      </c>
      <c r="AG369" s="13" t="str">
        <f t="shared" si="429"/>
        <v>ATKT</v>
      </c>
      <c r="AI369" s="1">
        <v>22</v>
      </c>
      <c r="AJ369" s="15">
        <f t="shared" si="432"/>
        <v>10</v>
      </c>
      <c r="AK369" s="16">
        <f t="shared" si="432"/>
        <v>42</v>
      </c>
      <c r="AL369" s="7">
        <f t="shared" si="432"/>
        <v>0</v>
      </c>
      <c r="AR369" s="7" t="str">
        <f t="shared" si="421"/>
        <v>F</v>
      </c>
      <c r="AS369" s="8">
        <f t="shared" si="422"/>
        <v>4</v>
      </c>
      <c r="AT369" s="8">
        <f t="shared" si="423"/>
        <v>8</v>
      </c>
      <c r="AU369" s="13">
        <f>IF(OR(UPPER(TRIM(AC369))="AB", AC369=901, AC369="901"), 0, IF(ISNUMBER(MATCH(UPPER(TRIM(AC369)), {"A+","A","B+","B","C","D","P"}, 0)), 2, 0))</f>
        <v>2</v>
      </c>
      <c r="AV369" s="13">
        <f t="shared" si="424"/>
        <v>21</v>
      </c>
      <c r="AW369">
        <f t="shared" si="425"/>
        <v>21</v>
      </c>
      <c r="AX369" s="1">
        <f t="shared" si="426"/>
        <v>42</v>
      </c>
      <c r="AY369" s="13">
        <f t="shared" si="430"/>
        <v>171</v>
      </c>
    </row>
    <row r="370" spans="1:51" ht="28.8">
      <c r="A370" s="7">
        <v>5076967</v>
      </c>
      <c r="B370" s="7"/>
      <c r="C370" s="33" t="s">
        <v>94</v>
      </c>
      <c r="D370" s="1" t="s">
        <v>47</v>
      </c>
      <c r="E370" s="3">
        <v>1</v>
      </c>
      <c r="F370" s="1" t="s">
        <v>48</v>
      </c>
      <c r="G370" s="1">
        <v>2521615</v>
      </c>
      <c r="H370" s="30" t="s">
        <v>96</v>
      </c>
      <c r="I370" s="5" t="s">
        <v>50</v>
      </c>
      <c r="J370" s="1">
        <v>8</v>
      </c>
      <c r="K370" s="13" t="str">
        <f t="shared" si="427"/>
        <v>P</v>
      </c>
      <c r="L370" s="1">
        <v>12</v>
      </c>
      <c r="M370" s="13" t="str">
        <f t="shared" si="428"/>
        <v>P</v>
      </c>
      <c r="AB370" s="7" t="str">
        <f t="shared" si="419"/>
        <v>20</v>
      </c>
      <c r="AC370" s="13" t="str">
        <f t="shared" si="420"/>
        <v>D</v>
      </c>
      <c r="AD370" s="13" t="str">
        <f t="shared" si="431"/>
        <v>171</v>
      </c>
      <c r="AE370" s="1">
        <v>550</v>
      </c>
      <c r="AF370" s="15">
        <f t="shared" si="429"/>
        <v>31.09090909090909</v>
      </c>
      <c r="AG370" s="13" t="str">
        <f t="shared" si="429"/>
        <v>ATKT</v>
      </c>
      <c r="AI370" s="1">
        <v>22</v>
      </c>
      <c r="AJ370" s="15">
        <f t="shared" si="432"/>
        <v>10</v>
      </c>
      <c r="AK370" s="16">
        <f t="shared" si="432"/>
        <v>42</v>
      </c>
      <c r="AL370" s="7">
        <f t="shared" si="432"/>
        <v>0</v>
      </c>
      <c r="AR370" s="7" t="str">
        <f t="shared" si="421"/>
        <v>F</v>
      </c>
      <c r="AS370" s="8">
        <f t="shared" si="422"/>
        <v>4</v>
      </c>
      <c r="AT370" s="8">
        <f t="shared" si="423"/>
        <v>8</v>
      </c>
      <c r="AU370" s="13">
        <f>IF(OR(UPPER(TRIM(AC370))="AB", AC370=901, AC370="901"), 0, IF(ISNUMBER(MATCH(UPPER(TRIM(AC370)), {"A+","A","B+","B","C","D","P"}, 0)), 2, 0))</f>
        <v>2</v>
      </c>
      <c r="AV370" s="13">
        <f t="shared" si="424"/>
        <v>20</v>
      </c>
      <c r="AW370">
        <f t="shared" si="425"/>
        <v>20</v>
      </c>
      <c r="AX370" s="1">
        <f t="shared" si="426"/>
        <v>40</v>
      </c>
      <c r="AY370" s="13">
        <f t="shared" si="430"/>
        <v>171</v>
      </c>
    </row>
    <row r="371" spans="1:51">
      <c r="A371" s="7">
        <v>5076967</v>
      </c>
      <c r="B371" s="7"/>
      <c r="C371" s="33" t="s">
        <v>94</v>
      </c>
      <c r="D371" s="1" t="s">
        <v>47</v>
      </c>
      <c r="E371" s="3">
        <v>1</v>
      </c>
      <c r="F371" s="1" t="s">
        <v>48</v>
      </c>
      <c r="G371" s="1">
        <v>2531511</v>
      </c>
      <c r="H371" s="2" t="s">
        <v>59</v>
      </c>
      <c r="I371" s="5" t="s">
        <v>50</v>
      </c>
      <c r="J371" s="1">
        <v>14</v>
      </c>
      <c r="K371" s="13" t="str">
        <f t="shared" si="427"/>
        <v>P</v>
      </c>
      <c r="L371" s="1">
        <v>12</v>
      </c>
      <c r="M371" s="13" t="str">
        <f t="shared" si="428"/>
        <v>P</v>
      </c>
      <c r="AB371" s="7" t="str">
        <f t="shared" si="419"/>
        <v>26</v>
      </c>
      <c r="AC371" s="13" t="str">
        <f t="shared" si="420"/>
        <v>C</v>
      </c>
      <c r="AD371" s="13" t="str">
        <f t="shared" si="431"/>
        <v>171</v>
      </c>
      <c r="AE371" s="1">
        <v>550</v>
      </c>
      <c r="AF371" s="15">
        <f t="shared" si="429"/>
        <v>31.09090909090909</v>
      </c>
      <c r="AG371" s="13" t="str">
        <f t="shared" si="429"/>
        <v>ATKT</v>
      </c>
      <c r="AI371" s="1">
        <v>22</v>
      </c>
      <c r="AJ371" s="15">
        <f t="shared" si="432"/>
        <v>10</v>
      </c>
      <c r="AK371" s="16">
        <f t="shared" si="432"/>
        <v>42</v>
      </c>
      <c r="AL371" s="7">
        <f t="shared" si="432"/>
        <v>0</v>
      </c>
      <c r="AR371" s="7" t="str">
        <f t="shared" si="421"/>
        <v>F</v>
      </c>
      <c r="AS371" s="8">
        <f t="shared" si="422"/>
        <v>5</v>
      </c>
      <c r="AT371" s="8">
        <f t="shared" si="423"/>
        <v>10</v>
      </c>
      <c r="AU371" s="13">
        <f>IF(OR(UPPER(TRIM(AC371))="AB", AC371=901, AC371="901"), 0, IF(ISNUMBER(MATCH(UPPER(TRIM(AC371)), {"A+","A","B+","B","C","D","P"}, 0)), 2, 0))</f>
        <v>2</v>
      </c>
      <c r="AV371" s="13">
        <f t="shared" si="424"/>
        <v>26</v>
      </c>
      <c r="AW371">
        <f t="shared" si="425"/>
        <v>26</v>
      </c>
      <c r="AX371" s="1">
        <f t="shared" si="426"/>
        <v>52</v>
      </c>
      <c r="AY371" s="13">
        <f t="shared" si="430"/>
        <v>171</v>
      </c>
    </row>
    <row r="372" spans="1:51">
      <c r="A372" s="7">
        <v>5076967</v>
      </c>
      <c r="B372" s="7"/>
      <c r="C372" s="33" t="s">
        <v>94</v>
      </c>
      <c r="D372" s="1" t="s">
        <v>47</v>
      </c>
      <c r="E372" s="3">
        <v>1</v>
      </c>
      <c r="F372" s="1" t="s">
        <v>48</v>
      </c>
      <c r="G372" s="1">
        <v>2541515</v>
      </c>
      <c r="H372" s="2" t="s">
        <v>60</v>
      </c>
      <c r="I372" s="5" t="s">
        <v>50</v>
      </c>
      <c r="J372" s="1">
        <v>8</v>
      </c>
      <c r="K372" s="13" t="str">
        <f t="shared" si="427"/>
        <v>P</v>
      </c>
      <c r="L372" s="6">
        <v>0</v>
      </c>
      <c r="M372" s="13" t="str">
        <f t="shared" si="428"/>
        <v>F</v>
      </c>
      <c r="AB372" s="7" t="str">
        <f t="shared" si="419"/>
        <v>8</v>
      </c>
      <c r="AC372" s="13" t="str">
        <f t="shared" si="420"/>
        <v>F</v>
      </c>
      <c r="AD372" s="13" t="str">
        <f t="shared" si="431"/>
        <v>171</v>
      </c>
      <c r="AE372" s="1">
        <v>550</v>
      </c>
      <c r="AF372" s="15">
        <f t="shared" si="429"/>
        <v>31.09090909090909</v>
      </c>
      <c r="AG372" s="13" t="str">
        <f t="shared" si="429"/>
        <v>ATKT</v>
      </c>
      <c r="AI372" s="1">
        <v>22</v>
      </c>
      <c r="AJ372" s="15">
        <f t="shared" si="432"/>
        <v>10</v>
      </c>
      <c r="AK372" s="16">
        <f t="shared" si="432"/>
        <v>42</v>
      </c>
      <c r="AL372" s="7">
        <f t="shared" si="432"/>
        <v>0</v>
      </c>
      <c r="AR372" s="7" t="str">
        <f t="shared" si="421"/>
        <v>F</v>
      </c>
      <c r="AS372" s="8">
        <f t="shared" si="422"/>
        <v>0</v>
      </c>
      <c r="AT372" s="8">
        <f t="shared" si="423"/>
        <v>0</v>
      </c>
      <c r="AU372" s="13">
        <f>IF(OR(UPPER(TRIM(AC372))="AB", AC372=901, AC372="901"), 0, IF(ISNUMBER(MATCH(UPPER(TRIM(AC372)), {"A+","A","B+","B","C","D","P"}, 0)), 2, 0))</f>
        <v>0</v>
      </c>
      <c r="AV372" s="13">
        <f t="shared" si="424"/>
        <v>8</v>
      </c>
      <c r="AW372">
        <f t="shared" si="425"/>
        <v>8</v>
      </c>
      <c r="AX372" s="1">
        <f t="shared" si="426"/>
        <v>16</v>
      </c>
      <c r="AY372" s="13">
        <f t="shared" si="430"/>
        <v>171</v>
      </c>
    </row>
    <row r="374" spans="1:51">
      <c r="A374" s="7">
        <v>5078615</v>
      </c>
      <c r="B374" s="7"/>
      <c r="C374" s="33" t="s">
        <v>97</v>
      </c>
      <c r="D374" s="1" t="s">
        <v>47</v>
      </c>
      <c r="E374" s="3">
        <v>1</v>
      </c>
      <c r="F374" s="1" t="s">
        <v>48</v>
      </c>
      <c r="G374" s="1">
        <v>1011312</v>
      </c>
      <c r="H374" s="2" t="s">
        <v>49</v>
      </c>
      <c r="I374" s="5" t="s">
        <v>50</v>
      </c>
      <c r="J374" s="6">
        <v>13</v>
      </c>
      <c r="K374" s="13" t="str">
        <f>IF(OR(UPPER(TRIM(J374))="AB",J374=901,J374="901"),"F",IF(J374&gt;=8,"P","F"))</f>
        <v>P</v>
      </c>
      <c r="L374" s="1">
        <v>16</v>
      </c>
      <c r="M374" s="13" t="str">
        <f>IF(OR(UPPER(TRIM(L374))="AB",L374=901,L374="901"),"F",IF(L374&gt;=8,"P","F"))</f>
        <v>P</v>
      </c>
      <c r="N374" s="13"/>
      <c r="O374" s="13"/>
      <c r="P374" s="13"/>
      <c r="Q374" s="13"/>
      <c r="R374" s="13"/>
      <c r="S374" s="13"/>
      <c r="T374" s="13"/>
      <c r="U374" s="13"/>
      <c r="V374" s="13"/>
      <c r="W374" s="13"/>
      <c r="X374" s="13"/>
      <c r="Y374" s="13"/>
      <c r="Z374" s="13"/>
      <c r="AB374" s="7" t="str">
        <f t="shared" ref="AB374:AB384" si="433">AV374 &amp; IF(AA374&lt;&gt;"", " @ " &amp; AA374, "")</f>
        <v>29</v>
      </c>
      <c r="AC374" s="13" t="str">
        <f t="shared" ref="AC374:AC384" si="434">IF(AX374&gt;=90,"O",
IF(AX374&gt;=80,"A+",
IF(AX374&gt;=70,"A",
IF(AX374&gt;=60,"B+",
IF(AX374&gt;=55,"B",
IF(AX374&gt;=50,"C",
IF(AX374&gt;=40,"D","F")))))))</f>
        <v>B</v>
      </c>
      <c r="AD374" s="13" t="str">
        <f>SUM(AV374:AV384) &amp; IF(SUM(AA374:AA384)&gt;0, " @ " &amp; SUM(AA374:AA384), "")</f>
        <v>230</v>
      </c>
      <c r="AE374" s="1">
        <v>550</v>
      </c>
      <c r="AF374" s="15">
        <f>AY374/AE374*100</f>
        <v>41.818181818181813</v>
      </c>
      <c r="AG374" s="13" t="str" cm="1">
        <f t="array" ref="AG374">IF(
  SUMPRODUCT(--(IFERROR(VALUE(J374:J384),9999)&lt;8))
  + SUMPRODUCT(--(IFERROR(VALUE(L374:L384),9999)&lt;12))
  + COUNTIF(J374:J384,"AB") + COUNTIF(L374:L384,"AB")
  + COUNTIF(J374:J384,901) + COUNTIF(L374:L384,901) &gt; 0,
  "ATKT",
  "PASS"
)</f>
        <v>ATKT</v>
      </c>
      <c r="AI374" s="1">
        <v>22</v>
      </c>
      <c r="AJ374" s="15">
        <f>SUM(AU374:AU384)</f>
        <v>14</v>
      </c>
      <c r="AK374" s="16">
        <f>SUM(AT374:AT384)</f>
        <v>70</v>
      </c>
      <c r="AL374" s="7">
        <f>IF(UPPER(TRIM(AG374))="ATKT",0,ROUND( (SUM(AT374:AT384) /22), 2))</f>
        <v>0</v>
      </c>
      <c r="AR374" s="7" t="str">
        <f t="shared" ref="AR374:AR384" si="435">IF(AL374&gt;=9,"O", IF(AL374&gt;=8,"A+", IF(AL374&gt;=7,"A", IF(AL374&gt;=6,"B+", IF(AL374&gt;=5.5,"B", IF(AL374&gt;=5,"C", IF(AL374&gt;=4,"D","F")))))))</f>
        <v>F</v>
      </c>
      <c r="AS374" s="8">
        <f t="shared" ref="AS374:AS384" si="436">IF(AX374&gt;=90,10,
IF(AX374&gt;=80,9,
IF(AX374&gt;=70,8,
IF(AX374&gt;=60,7,
IF(AX374&gt;=55,6,
IF(AX374&gt;=50,5,
IF(AX374&gt;=40,4,0)))))))</f>
        <v>6</v>
      </c>
      <c r="AT374" s="8">
        <f t="shared" ref="AT374:AT384" si="437">AS374*I374</f>
        <v>12</v>
      </c>
      <c r="AU374" s="13">
        <f>IF(OR(UPPER(TRIM(AC374))="AB", AC374=901, AC374="901"), 0, IF(ISNUMBER(MATCH(UPPER(TRIM(AC374)), {"A+","A","B+","B","C","D","P"}, 0)), 2, 0))</f>
        <v>2</v>
      </c>
      <c r="AV374" s="13">
        <f t="shared" ref="AV374:AV384" si="438">SUM(
IF(OR(UPPER(TRIM(J374))="AB",J374=901,J374="901"),0,IFERROR(VALUE(J374),0)),
IF(OR(UPPER(TRIM(L374))="AB",L374=901,L374="901"),0,IFERROR(VALUE(L374),0)),
IF(OR(UPPER(TRIM(N374))="AB",N374=901,N374="901"),0,IFERROR(VALUE(N374),0))
)</f>
        <v>29</v>
      </c>
      <c r="AW374">
        <f t="shared" ref="AW374:AW384" si="439">AA374+AV374</f>
        <v>29</v>
      </c>
      <c r="AX374" s="1">
        <f t="shared" ref="AX374:AX384" si="440">(AW374 / 50) * 100</f>
        <v>57.999999999999993</v>
      </c>
      <c r="AY374" s="13">
        <f>SUM(AW374:AW384)</f>
        <v>230</v>
      </c>
    </row>
    <row r="375" spans="1:51">
      <c r="A375" s="7">
        <v>5078615</v>
      </c>
      <c r="B375" s="7"/>
      <c r="C375" s="33" t="s">
        <v>97</v>
      </c>
      <c r="D375" s="1" t="s">
        <v>47</v>
      </c>
      <c r="E375" s="3">
        <v>1</v>
      </c>
      <c r="F375" s="1" t="s">
        <v>48</v>
      </c>
      <c r="G375" s="1">
        <v>1171312</v>
      </c>
      <c r="H375" s="2" t="s">
        <v>51</v>
      </c>
      <c r="I375" s="5" t="s">
        <v>50</v>
      </c>
      <c r="J375" s="1">
        <v>12</v>
      </c>
      <c r="K375" s="13" t="str">
        <f t="shared" ref="K375:K384" si="441">IF(OR(UPPER(TRIM(J375))="AB",J375=901,J375="901"),"F",IF(J375&gt;=8,"P","F"))</f>
        <v>P</v>
      </c>
      <c r="L375" s="1">
        <v>12</v>
      </c>
      <c r="M375" s="13" t="str">
        <f t="shared" ref="M375:M384" si="442">IF(OR(UPPER(TRIM(L375))="AB",L375=901,L375="901"),"F",IF(L375&gt;=8,"P","F"))</f>
        <v>P</v>
      </c>
      <c r="AB375" s="7" t="str">
        <f t="shared" si="433"/>
        <v>24</v>
      </c>
      <c r="AC375" s="13" t="str">
        <f t="shared" si="434"/>
        <v>D</v>
      </c>
      <c r="AD375" s="13" t="str">
        <f>AD374</f>
        <v>230</v>
      </c>
      <c r="AE375" s="1">
        <v>550</v>
      </c>
      <c r="AF375" s="15">
        <f t="shared" ref="AF375:AG384" si="443">AF374</f>
        <v>41.818181818181813</v>
      </c>
      <c r="AG375" s="13" t="str">
        <f t="shared" si="443"/>
        <v>ATKT</v>
      </c>
      <c r="AI375" s="1">
        <v>22</v>
      </c>
      <c r="AJ375" s="15">
        <f>AJ374</f>
        <v>14</v>
      </c>
      <c r="AK375" s="16">
        <f>AK374</f>
        <v>70</v>
      </c>
      <c r="AL375" s="7">
        <f>AL374</f>
        <v>0</v>
      </c>
      <c r="AR375" s="7" t="str">
        <f t="shared" si="435"/>
        <v>F</v>
      </c>
      <c r="AS375" s="8">
        <f t="shared" si="436"/>
        <v>4</v>
      </c>
      <c r="AT375" s="8">
        <f t="shared" si="437"/>
        <v>8</v>
      </c>
      <c r="AU375" s="13">
        <f>IF(OR(UPPER(TRIM(AC375))="AB", AC375=901, AC375="901"), 0, IF(ISNUMBER(MATCH(UPPER(TRIM(AC375)), {"A+","A","B+","B","C","D","P"}, 0)), 2, 0))</f>
        <v>2</v>
      </c>
      <c r="AV375" s="13">
        <f t="shared" si="438"/>
        <v>24</v>
      </c>
      <c r="AW375">
        <f t="shared" si="439"/>
        <v>24</v>
      </c>
      <c r="AX375" s="1">
        <f t="shared" si="440"/>
        <v>48</v>
      </c>
      <c r="AY375" s="13">
        <f t="shared" ref="AY375:AY384" si="444">AY374</f>
        <v>230</v>
      </c>
    </row>
    <row r="376" spans="1:51">
      <c r="A376" s="7">
        <v>5078615</v>
      </c>
      <c r="B376" s="7"/>
      <c r="C376" s="33" t="s">
        <v>97</v>
      </c>
      <c r="D376" s="1" t="s">
        <v>47</v>
      </c>
      <c r="E376" s="3">
        <v>1</v>
      </c>
      <c r="F376" s="1" t="s">
        <v>48</v>
      </c>
      <c r="G376" s="1">
        <v>1461111</v>
      </c>
      <c r="H376" s="2" t="s">
        <v>52</v>
      </c>
      <c r="I376" s="5" t="s">
        <v>50</v>
      </c>
      <c r="J376" s="1">
        <v>9</v>
      </c>
      <c r="K376" s="13" t="str">
        <f t="shared" si="441"/>
        <v>P</v>
      </c>
      <c r="L376" s="1">
        <v>3</v>
      </c>
      <c r="M376" s="13" t="str">
        <f t="shared" si="442"/>
        <v>F</v>
      </c>
      <c r="AB376" s="7" t="str">
        <f t="shared" si="433"/>
        <v>12</v>
      </c>
      <c r="AC376" s="13" t="str">
        <f t="shared" si="434"/>
        <v>F</v>
      </c>
      <c r="AD376" s="13" t="str">
        <f t="shared" ref="AD376:AD384" si="445">AD375</f>
        <v>230</v>
      </c>
      <c r="AE376" s="1">
        <v>550</v>
      </c>
      <c r="AF376" s="15">
        <f t="shared" si="443"/>
        <v>41.818181818181813</v>
      </c>
      <c r="AG376" s="13" t="str">
        <f t="shared" si="443"/>
        <v>ATKT</v>
      </c>
      <c r="AI376" s="1">
        <v>22</v>
      </c>
      <c r="AJ376" s="15">
        <f t="shared" ref="AJ376:AL384" si="446">AJ375</f>
        <v>14</v>
      </c>
      <c r="AK376" s="16">
        <f t="shared" si="446"/>
        <v>70</v>
      </c>
      <c r="AL376" s="7">
        <f t="shared" si="446"/>
        <v>0</v>
      </c>
      <c r="AR376" s="7" t="str">
        <f t="shared" si="435"/>
        <v>F</v>
      </c>
      <c r="AS376" s="8">
        <f t="shared" si="436"/>
        <v>0</v>
      </c>
      <c r="AT376" s="8">
        <f t="shared" si="437"/>
        <v>0</v>
      </c>
      <c r="AU376" s="13">
        <f>IF(OR(UPPER(TRIM(AC376))="AB", AC376=901, AC376="901"), 0, IF(ISNUMBER(MATCH(UPPER(TRIM(AC376)), {"A+","A","B+","B","C","D","P"}, 0)), 2, 0))</f>
        <v>0</v>
      </c>
      <c r="AV376" s="13">
        <f t="shared" si="438"/>
        <v>12</v>
      </c>
      <c r="AW376">
        <f t="shared" si="439"/>
        <v>12</v>
      </c>
      <c r="AX376" s="1">
        <f t="shared" si="440"/>
        <v>24</v>
      </c>
      <c r="AY376" s="13">
        <f t="shared" si="444"/>
        <v>230</v>
      </c>
    </row>
    <row r="377" spans="1:51">
      <c r="A377" s="7">
        <v>5078615</v>
      </c>
      <c r="B377" s="7"/>
      <c r="C377" s="33" t="s">
        <v>97</v>
      </c>
      <c r="D377" s="1" t="s">
        <v>47</v>
      </c>
      <c r="E377" s="3">
        <v>1</v>
      </c>
      <c r="F377" s="1" t="s">
        <v>48</v>
      </c>
      <c r="G377" s="1">
        <v>1461112</v>
      </c>
      <c r="H377" s="2" t="s">
        <v>53</v>
      </c>
      <c r="I377" s="5" t="s">
        <v>50</v>
      </c>
      <c r="J377" s="1">
        <v>9</v>
      </c>
      <c r="K377" s="13" t="str">
        <f t="shared" si="441"/>
        <v>P</v>
      </c>
      <c r="L377" s="1">
        <v>5</v>
      </c>
      <c r="M377" s="13" t="str">
        <f t="shared" si="442"/>
        <v>F</v>
      </c>
      <c r="AB377" s="7" t="str">
        <f t="shared" si="433"/>
        <v>14</v>
      </c>
      <c r="AC377" s="13" t="str">
        <f t="shared" si="434"/>
        <v>F</v>
      </c>
      <c r="AD377" s="13" t="str">
        <f t="shared" si="445"/>
        <v>230</v>
      </c>
      <c r="AE377" s="1">
        <v>550</v>
      </c>
      <c r="AF377" s="15">
        <f t="shared" si="443"/>
        <v>41.818181818181813</v>
      </c>
      <c r="AG377" s="13" t="str">
        <f t="shared" si="443"/>
        <v>ATKT</v>
      </c>
      <c r="AI377" s="1">
        <v>22</v>
      </c>
      <c r="AJ377" s="15">
        <f t="shared" si="446"/>
        <v>14</v>
      </c>
      <c r="AK377" s="16">
        <f t="shared" si="446"/>
        <v>70</v>
      </c>
      <c r="AL377" s="7">
        <f t="shared" si="446"/>
        <v>0</v>
      </c>
      <c r="AR377" s="7" t="str">
        <f t="shared" si="435"/>
        <v>F</v>
      </c>
      <c r="AS377" s="8">
        <f t="shared" si="436"/>
        <v>0</v>
      </c>
      <c r="AT377" s="8">
        <f t="shared" si="437"/>
        <v>0</v>
      </c>
      <c r="AU377" s="13">
        <f>IF(OR(UPPER(TRIM(AC377))="AB", AC377=901, AC377="901"), 0, IF(ISNUMBER(MATCH(UPPER(TRIM(AC377)), {"A+","A","B+","B","C","D","P"}, 0)), 2, 0))</f>
        <v>0</v>
      </c>
      <c r="AV377" s="13">
        <f t="shared" si="438"/>
        <v>14</v>
      </c>
      <c r="AW377">
        <f t="shared" si="439"/>
        <v>14</v>
      </c>
      <c r="AX377" s="1">
        <f t="shared" si="440"/>
        <v>28.000000000000004</v>
      </c>
      <c r="AY377" s="13">
        <f t="shared" si="444"/>
        <v>230</v>
      </c>
    </row>
    <row r="378" spans="1:51">
      <c r="A378" s="7">
        <v>5078615</v>
      </c>
      <c r="B378" s="7"/>
      <c r="C378" s="33" t="s">
        <v>97</v>
      </c>
      <c r="D378" s="1" t="s">
        <v>47</v>
      </c>
      <c r="E378" s="3">
        <v>1</v>
      </c>
      <c r="F378" s="1" t="s">
        <v>48</v>
      </c>
      <c r="G378" s="1">
        <v>1461113</v>
      </c>
      <c r="H378" s="2" t="s">
        <v>54</v>
      </c>
      <c r="I378" s="5" t="s">
        <v>50</v>
      </c>
      <c r="J378" s="1">
        <v>19</v>
      </c>
      <c r="K378" s="13" t="str">
        <f t="shared" si="441"/>
        <v>P</v>
      </c>
      <c r="L378" s="1">
        <v>12</v>
      </c>
      <c r="M378" s="13" t="str">
        <f t="shared" si="442"/>
        <v>P</v>
      </c>
      <c r="AB378" s="7" t="str">
        <f t="shared" si="433"/>
        <v>31</v>
      </c>
      <c r="AC378" s="13" t="str">
        <f t="shared" si="434"/>
        <v>B+</v>
      </c>
      <c r="AD378" s="13" t="str">
        <f t="shared" si="445"/>
        <v>230</v>
      </c>
      <c r="AE378" s="1">
        <v>550</v>
      </c>
      <c r="AF378" s="15">
        <f t="shared" si="443"/>
        <v>41.818181818181813</v>
      </c>
      <c r="AG378" s="13" t="str">
        <f t="shared" si="443"/>
        <v>ATKT</v>
      </c>
      <c r="AI378" s="1">
        <v>22</v>
      </c>
      <c r="AJ378" s="15">
        <f t="shared" si="446"/>
        <v>14</v>
      </c>
      <c r="AK378" s="16">
        <f t="shared" si="446"/>
        <v>70</v>
      </c>
      <c r="AL378" s="7">
        <f t="shared" si="446"/>
        <v>0</v>
      </c>
      <c r="AR378" s="7" t="str">
        <f t="shared" si="435"/>
        <v>F</v>
      </c>
      <c r="AS378" s="8">
        <f t="shared" si="436"/>
        <v>7</v>
      </c>
      <c r="AT378" s="8">
        <f t="shared" si="437"/>
        <v>14</v>
      </c>
      <c r="AU378" s="13">
        <f>IF(OR(UPPER(TRIM(AC378))="AB", AC378=901, AC378="901"), 0, IF(ISNUMBER(MATCH(UPPER(TRIM(AC378)), {"A+","A","B+","B","C","D","P"}, 0)), 2, 0))</f>
        <v>2</v>
      </c>
      <c r="AV378" s="13">
        <f t="shared" si="438"/>
        <v>31</v>
      </c>
      <c r="AW378">
        <f t="shared" si="439"/>
        <v>31</v>
      </c>
      <c r="AX378" s="1">
        <f t="shared" si="440"/>
        <v>62</v>
      </c>
      <c r="AY378" s="13">
        <f t="shared" si="444"/>
        <v>230</v>
      </c>
    </row>
    <row r="379" spans="1:51">
      <c r="A379" s="7">
        <v>5078615</v>
      </c>
      <c r="B379" s="7"/>
      <c r="C379" s="33" t="s">
        <v>97</v>
      </c>
      <c r="D379" s="1" t="s">
        <v>47</v>
      </c>
      <c r="E379" s="3">
        <v>1</v>
      </c>
      <c r="F379" s="1" t="s">
        <v>48</v>
      </c>
      <c r="G379" s="1">
        <v>1461411</v>
      </c>
      <c r="H379" s="2" t="s">
        <v>55</v>
      </c>
      <c r="I379" s="5" t="s">
        <v>50</v>
      </c>
      <c r="J379" s="1">
        <v>10</v>
      </c>
      <c r="K379" s="13" t="str">
        <f t="shared" si="441"/>
        <v>P</v>
      </c>
      <c r="L379" s="1">
        <v>5</v>
      </c>
      <c r="M379" s="13" t="str">
        <f t="shared" si="442"/>
        <v>F</v>
      </c>
      <c r="AB379" s="7" t="str">
        <f t="shared" si="433"/>
        <v>15</v>
      </c>
      <c r="AC379" s="13" t="str">
        <f t="shared" si="434"/>
        <v>F</v>
      </c>
      <c r="AD379" s="13" t="str">
        <f t="shared" si="445"/>
        <v>230</v>
      </c>
      <c r="AE379" s="1">
        <v>550</v>
      </c>
      <c r="AF379" s="15">
        <f t="shared" si="443"/>
        <v>41.818181818181813</v>
      </c>
      <c r="AG379" s="13" t="str">
        <f t="shared" si="443"/>
        <v>ATKT</v>
      </c>
      <c r="AI379" s="1">
        <v>22</v>
      </c>
      <c r="AJ379" s="15">
        <f t="shared" si="446"/>
        <v>14</v>
      </c>
      <c r="AK379" s="16">
        <f t="shared" si="446"/>
        <v>70</v>
      </c>
      <c r="AL379" s="7">
        <f t="shared" si="446"/>
        <v>0</v>
      </c>
      <c r="AR379" s="7" t="str">
        <f t="shared" si="435"/>
        <v>F</v>
      </c>
      <c r="AS379" s="8">
        <f t="shared" si="436"/>
        <v>0</v>
      </c>
      <c r="AT379" s="8">
        <f t="shared" si="437"/>
        <v>0</v>
      </c>
      <c r="AU379" s="13">
        <f>IF(OR(UPPER(TRIM(AC379))="AB", AC379=901, AC379="901"), 0, IF(ISNUMBER(MATCH(UPPER(TRIM(AC379)), {"A+","A","B+","B","C","D","P"}, 0)), 2, 0))</f>
        <v>0</v>
      </c>
      <c r="AV379" s="13">
        <f t="shared" si="438"/>
        <v>15</v>
      </c>
      <c r="AW379">
        <f t="shared" si="439"/>
        <v>15</v>
      </c>
      <c r="AX379" s="1">
        <f t="shared" si="440"/>
        <v>30</v>
      </c>
      <c r="AY379" s="13">
        <f t="shared" si="444"/>
        <v>230</v>
      </c>
    </row>
    <row r="380" spans="1:51">
      <c r="A380" s="7">
        <v>5078615</v>
      </c>
      <c r="B380" s="7"/>
      <c r="C380" s="33" t="s">
        <v>97</v>
      </c>
      <c r="D380" s="1" t="s">
        <v>47</v>
      </c>
      <c r="E380" s="3">
        <v>1</v>
      </c>
      <c r="F380" s="1" t="s">
        <v>48</v>
      </c>
      <c r="G380" s="1">
        <v>1461412</v>
      </c>
      <c r="H380" s="2" t="s">
        <v>56</v>
      </c>
      <c r="I380" s="5" t="s">
        <v>50</v>
      </c>
      <c r="J380" s="1">
        <v>9</v>
      </c>
      <c r="K380" s="13" t="str">
        <f t="shared" si="441"/>
        <v>P</v>
      </c>
      <c r="L380" s="1">
        <v>12</v>
      </c>
      <c r="M380" s="13" t="str">
        <f t="shared" si="442"/>
        <v>P</v>
      </c>
      <c r="AB380" s="7" t="str">
        <f t="shared" si="433"/>
        <v>21</v>
      </c>
      <c r="AC380" s="13" t="str">
        <f t="shared" si="434"/>
        <v>D</v>
      </c>
      <c r="AD380" s="13" t="str">
        <f t="shared" si="445"/>
        <v>230</v>
      </c>
      <c r="AE380" s="1">
        <v>550</v>
      </c>
      <c r="AF380" s="15">
        <f t="shared" si="443"/>
        <v>41.818181818181813</v>
      </c>
      <c r="AG380" s="13" t="str">
        <f t="shared" si="443"/>
        <v>ATKT</v>
      </c>
      <c r="AI380" s="1">
        <v>22</v>
      </c>
      <c r="AJ380" s="15">
        <f t="shared" si="446"/>
        <v>14</v>
      </c>
      <c r="AK380" s="16">
        <f t="shared" si="446"/>
        <v>70</v>
      </c>
      <c r="AL380" s="7">
        <f t="shared" si="446"/>
        <v>0</v>
      </c>
      <c r="AR380" s="7" t="str">
        <f t="shared" si="435"/>
        <v>F</v>
      </c>
      <c r="AS380" s="8">
        <f t="shared" si="436"/>
        <v>4</v>
      </c>
      <c r="AT380" s="8">
        <f t="shared" si="437"/>
        <v>8</v>
      </c>
      <c r="AU380" s="13">
        <f>IF(OR(UPPER(TRIM(AC380))="AB", AC380=901, AC380="901"), 0, IF(ISNUMBER(MATCH(UPPER(TRIM(AC380)), {"A+","A","B+","B","C","D","P"}, 0)), 2, 0))</f>
        <v>2</v>
      </c>
      <c r="AV380" s="13">
        <f t="shared" si="438"/>
        <v>21</v>
      </c>
      <c r="AW380">
        <f t="shared" si="439"/>
        <v>21</v>
      </c>
      <c r="AX380" s="1">
        <f t="shared" si="440"/>
        <v>42</v>
      </c>
      <c r="AY380" s="13">
        <f t="shared" si="444"/>
        <v>230</v>
      </c>
    </row>
    <row r="381" spans="1:51">
      <c r="A381" s="7">
        <v>5078615</v>
      </c>
      <c r="B381" s="7"/>
      <c r="C381" s="33" t="s">
        <v>97</v>
      </c>
      <c r="D381" s="1" t="s">
        <v>47</v>
      </c>
      <c r="E381" s="3">
        <v>1</v>
      </c>
      <c r="F381" s="1" t="s">
        <v>48</v>
      </c>
      <c r="G381" s="1">
        <v>2511515</v>
      </c>
      <c r="H381" s="2" t="s">
        <v>57</v>
      </c>
      <c r="I381" s="5" t="s">
        <v>50</v>
      </c>
      <c r="J381" s="1">
        <v>9</v>
      </c>
      <c r="K381" s="13" t="str">
        <f t="shared" si="441"/>
        <v>P</v>
      </c>
      <c r="L381" s="1">
        <v>12</v>
      </c>
      <c r="M381" s="13" t="str">
        <f t="shared" si="442"/>
        <v>P</v>
      </c>
      <c r="AB381" s="7" t="str">
        <f t="shared" si="433"/>
        <v>21</v>
      </c>
      <c r="AC381" s="13" t="str">
        <f t="shared" si="434"/>
        <v>D</v>
      </c>
      <c r="AD381" s="13" t="str">
        <f t="shared" si="445"/>
        <v>230</v>
      </c>
      <c r="AE381" s="1">
        <v>550</v>
      </c>
      <c r="AF381" s="15">
        <f t="shared" si="443"/>
        <v>41.818181818181813</v>
      </c>
      <c r="AG381" s="13" t="str">
        <f t="shared" si="443"/>
        <v>ATKT</v>
      </c>
      <c r="AI381" s="1">
        <v>22</v>
      </c>
      <c r="AJ381" s="15">
        <f t="shared" si="446"/>
        <v>14</v>
      </c>
      <c r="AK381" s="16">
        <f t="shared" si="446"/>
        <v>70</v>
      </c>
      <c r="AL381" s="7">
        <f t="shared" si="446"/>
        <v>0</v>
      </c>
      <c r="AR381" s="7" t="str">
        <f t="shared" si="435"/>
        <v>F</v>
      </c>
      <c r="AS381" s="8">
        <f t="shared" si="436"/>
        <v>4</v>
      </c>
      <c r="AT381" s="8">
        <f t="shared" si="437"/>
        <v>8</v>
      </c>
      <c r="AU381" s="13">
        <f>IF(OR(UPPER(TRIM(AC381))="AB", AC381=901, AC381="901"), 0, IF(ISNUMBER(MATCH(UPPER(TRIM(AC381)), {"A+","A","B+","B","C","D","P"}, 0)), 2, 0))</f>
        <v>2</v>
      </c>
      <c r="AV381" s="13">
        <f t="shared" si="438"/>
        <v>21</v>
      </c>
      <c r="AW381">
        <f t="shared" si="439"/>
        <v>21</v>
      </c>
      <c r="AX381" s="1">
        <f t="shared" si="440"/>
        <v>42</v>
      </c>
      <c r="AY381" s="13">
        <f t="shared" si="444"/>
        <v>230</v>
      </c>
    </row>
    <row r="382" spans="1:51" ht="28.8">
      <c r="A382" s="7">
        <v>5078615</v>
      </c>
      <c r="B382" s="7"/>
      <c r="C382" s="33" t="s">
        <v>97</v>
      </c>
      <c r="D382" s="1" t="s">
        <v>47</v>
      </c>
      <c r="E382" s="3">
        <v>1</v>
      </c>
      <c r="F382" s="1" t="s">
        <v>48</v>
      </c>
      <c r="G382" s="1">
        <v>2521615</v>
      </c>
      <c r="H382" s="30" t="s">
        <v>96</v>
      </c>
      <c r="I382" s="5" t="s">
        <v>50</v>
      </c>
      <c r="J382" s="1">
        <v>12</v>
      </c>
      <c r="K382" s="13" t="str">
        <f t="shared" si="441"/>
        <v>P</v>
      </c>
      <c r="L382" s="1">
        <v>12</v>
      </c>
      <c r="M382" s="13" t="str">
        <f t="shared" si="442"/>
        <v>P</v>
      </c>
      <c r="AB382" s="7" t="str">
        <f t="shared" si="433"/>
        <v>24</v>
      </c>
      <c r="AC382" s="13" t="str">
        <f t="shared" si="434"/>
        <v>D</v>
      </c>
      <c r="AD382" s="13" t="str">
        <f t="shared" si="445"/>
        <v>230</v>
      </c>
      <c r="AE382" s="1">
        <v>550</v>
      </c>
      <c r="AF382" s="15">
        <f t="shared" si="443"/>
        <v>41.818181818181813</v>
      </c>
      <c r="AG382" s="13" t="str">
        <f t="shared" si="443"/>
        <v>ATKT</v>
      </c>
      <c r="AI382" s="1">
        <v>22</v>
      </c>
      <c r="AJ382" s="15">
        <f t="shared" si="446"/>
        <v>14</v>
      </c>
      <c r="AK382" s="16">
        <f t="shared" si="446"/>
        <v>70</v>
      </c>
      <c r="AL382" s="7">
        <f t="shared" si="446"/>
        <v>0</v>
      </c>
      <c r="AR382" s="7" t="str">
        <f t="shared" si="435"/>
        <v>F</v>
      </c>
      <c r="AS382" s="8">
        <f t="shared" si="436"/>
        <v>4</v>
      </c>
      <c r="AT382" s="8">
        <f t="shared" si="437"/>
        <v>8</v>
      </c>
      <c r="AU382" s="13">
        <f>IF(OR(UPPER(TRIM(AC382))="AB", AC382=901, AC382="901"), 0, IF(ISNUMBER(MATCH(UPPER(TRIM(AC382)), {"A+","A","B+","B","C","D","P"}, 0)), 2, 0))</f>
        <v>2</v>
      </c>
      <c r="AV382" s="13">
        <f t="shared" si="438"/>
        <v>24</v>
      </c>
      <c r="AW382">
        <f t="shared" si="439"/>
        <v>24</v>
      </c>
      <c r="AX382" s="1">
        <f t="shared" si="440"/>
        <v>48</v>
      </c>
      <c r="AY382" s="13">
        <f t="shared" si="444"/>
        <v>230</v>
      </c>
    </row>
    <row r="383" spans="1:51">
      <c r="A383" s="7">
        <v>5078615</v>
      </c>
      <c r="B383" s="7"/>
      <c r="C383" s="33" t="s">
        <v>97</v>
      </c>
      <c r="D383" s="1" t="s">
        <v>47</v>
      </c>
      <c r="E383" s="3">
        <v>1</v>
      </c>
      <c r="F383" s="1" t="s">
        <v>48</v>
      </c>
      <c r="G383" s="1">
        <v>2531511</v>
      </c>
      <c r="H383" s="2" t="s">
        <v>59</v>
      </c>
      <c r="I383" s="5" t="s">
        <v>50</v>
      </c>
      <c r="J383" s="1">
        <v>16</v>
      </c>
      <c r="K383" s="13" t="str">
        <f t="shared" si="441"/>
        <v>P</v>
      </c>
      <c r="L383" s="1">
        <v>12</v>
      </c>
      <c r="M383" s="13" t="str">
        <f t="shared" si="442"/>
        <v>P</v>
      </c>
      <c r="AB383" s="7" t="str">
        <f t="shared" si="433"/>
        <v>28</v>
      </c>
      <c r="AC383" s="13" t="str">
        <f t="shared" si="434"/>
        <v>B</v>
      </c>
      <c r="AD383" s="13" t="str">
        <f t="shared" si="445"/>
        <v>230</v>
      </c>
      <c r="AE383" s="1">
        <v>550</v>
      </c>
      <c r="AF383" s="15">
        <f t="shared" si="443"/>
        <v>41.818181818181813</v>
      </c>
      <c r="AG383" s="13" t="str">
        <f t="shared" si="443"/>
        <v>ATKT</v>
      </c>
      <c r="AI383" s="1">
        <v>22</v>
      </c>
      <c r="AJ383" s="15">
        <f t="shared" si="446"/>
        <v>14</v>
      </c>
      <c r="AK383" s="16">
        <f t="shared" si="446"/>
        <v>70</v>
      </c>
      <c r="AL383" s="7">
        <f t="shared" si="446"/>
        <v>0</v>
      </c>
      <c r="AR383" s="7" t="str">
        <f t="shared" si="435"/>
        <v>F</v>
      </c>
      <c r="AS383" s="8">
        <f t="shared" si="436"/>
        <v>6</v>
      </c>
      <c r="AT383" s="8">
        <f t="shared" si="437"/>
        <v>12</v>
      </c>
      <c r="AU383" s="13">
        <f>IF(OR(UPPER(TRIM(AC383))="AB", AC383=901, AC383="901"), 0, IF(ISNUMBER(MATCH(UPPER(TRIM(AC383)), {"A+","A","B+","B","C","D","P"}, 0)), 2, 0))</f>
        <v>2</v>
      </c>
      <c r="AV383" s="13">
        <f t="shared" si="438"/>
        <v>28</v>
      </c>
      <c r="AW383">
        <f t="shared" si="439"/>
        <v>28</v>
      </c>
      <c r="AX383" s="1">
        <f t="shared" si="440"/>
        <v>56.000000000000007</v>
      </c>
      <c r="AY383" s="13">
        <f t="shared" si="444"/>
        <v>230</v>
      </c>
    </row>
    <row r="384" spans="1:51">
      <c r="A384" s="7">
        <v>5078615</v>
      </c>
      <c r="B384" s="7"/>
      <c r="C384" s="33" t="s">
        <v>97</v>
      </c>
      <c r="D384" s="1" t="s">
        <v>47</v>
      </c>
      <c r="E384" s="3">
        <v>1</v>
      </c>
      <c r="F384" s="1" t="s">
        <v>48</v>
      </c>
      <c r="G384" s="1">
        <v>2541515</v>
      </c>
      <c r="H384" s="2" t="s">
        <v>60</v>
      </c>
      <c r="I384" s="5" t="s">
        <v>50</v>
      </c>
      <c r="J384" s="1">
        <v>11</v>
      </c>
      <c r="K384" s="13" t="str">
        <f t="shared" si="441"/>
        <v>P</v>
      </c>
      <c r="L384" s="6">
        <v>0</v>
      </c>
      <c r="M384" s="13" t="str">
        <f t="shared" si="442"/>
        <v>F</v>
      </c>
      <c r="AB384" s="7" t="str">
        <f t="shared" si="433"/>
        <v>11</v>
      </c>
      <c r="AC384" s="13" t="str">
        <f t="shared" si="434"/>
        <v>F</v>
      </c>
      <c r="AD384" s="13" t="str">
        <f t="shared" si="445"/>
        <v>230</v>
      </c>
      <c r="AE384" s="1">
        <v>550</v>
      </c>
      <c r="AF384" s="15">
        <f t="shared" si="443"/>
        <v>41.818181818181813</v>
      </c>
      <c r="AG384" s="13" t="str">
        <f t="shared" si="443"/>
        <v>ATKT</v>
      </c>
      <c r="AI384" s="1">
        <v>22</v>
      </c>
      <c r="AJ384" s="15">
        <f t="shared" si="446"/>
        <v>14</v>
      </c>
      <c r="AK384" s="16">
        <f t="shared" si="446"/>
        <v>70</v>
      </c>
      <c r="AL384" s="7">
        <f t="shared" si="446"/>
        <v>0</v>
      </c>
      <c r="AR384" s="7" t="str">
        <f t="shared" si="435"/>
        <v>F</v>
      </c>
      <c r="AS384" s="8">
        <f t="shared" si="436"/>
        <v>0</v>
      </c>
      <c r="AT384" s="8">
        <f t="shared" si="437"/>
        <v>0</v>
      </c>
      <c r="AU384" s="13">
        <f>IF(OR(UPPER(TRIM(AC384))="AB", AC384=901, AC384="901"), 0, IF(ISNUMBER(MATCH(UPPER(TRIM(AC384)), {"A+","A","B+","B","C","D","P"}, 0)), 2, 0))</f>
        <v>0</v>
      </c>
      <c r="AV384" s="13">
        <f t="shared" si="438"/>
        <v>11</v>
      </c>
      <c r="AW384">
        <f t="shared" si="439"/>
        <v>11</v>
      </c>
      <c r="AX384" s="1">
        <f t="shared" si="440"/>
        <v>22</v>
      </c>
      <c r="AY384" s="13">
        <f t="shared" si="444"/>
        <v>230</v>
      </c>
    </row>
    <row r="386" spans="1:51">
      <c r="A386" s="7">
        <v>5202187</v>
      </c>
      <c r="B386" s="7"/>
      <c r="C386" s="33" t="s">
        <v>95</v>
      </c>
      <c r="D386" s="1" t="s">
        <v>47</v>
      </c>
      <c r="E386" s="3">
        <v>1</v>
      </c>
      <c r="F386" s="1" t="s">
        <v>48</v>
      </c>
      <c r="G386" s="1">
        <v>1011312</v>
      </c>
      <c r="H386" s="2" t="s">
        <v>49</v>
      </c>
      <c r="I386" s="5" t="s">
        <v>50</v>
      </c>
      <c r="J386" s="6">
        <v>901</v>
      </c>
      <c r="K386" s="13" t="str">
        <f>IF(OR(UPPER(TRIM(J386))="AB",J386=901,J386="901"),"F",IF(J386&gt;=8,"P","F"))</f>
        <v>F</v>
      </c>
      <c r="L386" s="1">
        <v>901</v>
      </c>
      <c r="M386" s="13" t="str">
        <f>IF(OR(UPPER(TRIM(L386))="AB",L386=901,L386="901"),"F",IF(L386&gt;=8,"P","F"))</f>
        <v>F</v>
      </c>
      <c r="N386" s="13"/>
      <c r="O386" s="13"/>
      <c r="P386" s="13"/>
      <c r="Q386" s="13"/>
      <c r="R386" s="13"/>
      <c r="S386" s="13"/>
      <c r="T386" s="13"/>
      <c r="U386" s="13"/>
      <c r="V386" s="13"/>
      <c r="W386" s="13"/>
      <c r="X386" s="13"/>
      <c r="Y386" s="13"/>
      <c r="Z386" s="13"/>
      <c r="AB386" s="7" t="str">
        <f t="shared" ref="AB386:AB396" si="447">AV386 &amp; IF(AA386&lt;&gt;"", " @ " &amp; AA386, "")</f>
        <v>0</v>
      </c>
      <c r="AC386" s="13" t="str">
        <f t="shared" ref="AC386:AC396" si="448">IF(AX386&gt;=90,"O",
IF(AX386&gt;=80,"A+",
IF(AX386&gt;=70,"A",
IF(AX386&gt;=60,"B+",
IF(AX386&gt;=55,"B",
IF(AX386&gt;=50,"C",
IF(AX386&gt;=40,"D","F")))))))</f>
        <v>F</v>
      </c>
      <c r="AD386" s="13" t="str">
        <f>SUM(AV386:AV396) &amp; IF(SUM(AA386:AA396)&gt;0, " @ " &amp; SUM(AA386:AA396), "")</f>
        <v>166</v>
      </c>
      <c r="AE386" s="1">
        <v>550</v>
      </c>
      <c r="AF386" s="15">
        <f>AY386/AE386*100</f>
        <v>30.181818181818183</v>
      </c>
      <c r="AG386" s="13" t="str" cm="1">
        <f t="array" ref="AG386">IF(
  SUMPRODUCT(--(IFERROR(VALUE(J386:J396),9999)&lt;8))
  + SUMPRODUCT(--(IFERROR(VALUE(L386:L396),9999)&lt;12))
  + COUNTIF(J386:J396,"AB") + COUNTIF(L386:L396,"AB")
  + COUNTIF(J386:J396,901) + COUNTIF(L386:L396,901) &gt; 0,
  "ATKT",
  "PASS"
)</f>
        <v>ATKT</v>
      </c>
      <c r="AI386" s="1">
        <v>22</v>
      </c>
      <c r="AJ386" s="15">
        <f>SUM(AU386:AU396)</f>
        <v>8</v>
      </c>
      <c r="AK386" s="16">
        <f>SUM(AT386:AT396)</f>
        <v>32</v>
      </c>
      <c r="AL386" s="7">
        <f>IF(UPPER(TRIM(AG386))="ATKT",0,ROUND( (SUM(AT386:AT396) /22), 2))</f>
        <v>0</v>
      </c>
      <c r="AR386" s="7" t="str">
        <f t="shared" ref="AR386:AR396" si="449">IF(AL386&gt;=9,"O", IF(AL386&gt;=8,"A+", IF(AL386&gt;=7,"A", IF(AL386&gt;=6,"B+", IF(AL386&gt;=5.5,"B", IF(AL386&gt;=5,"C", IF(AL386&gt;=4,"D","F")))))))</f>
        <v>F</v>
      </c>
      <c r="AS386" s="8">
        <f t="shared" ref="AS386:AS396" si="450">IF(AX386&gt;=90,10,
IF(AX386&gt;=80,9,
IF(AX386&gt;=70,8,
IF(AX386&gt;=60,7,
IF(AX386&gt;=55,6,
IF(AX386&gt;=50,5,
IF(AX386&gt;=40,4,0)))))))</f>
        <v>0</v>
      </c>
      <c r="AT386" s="8">
        <f t="shared" ref="AT386:AT396" si="451">AS386*I386</f>
        <v>0</v>
      </c>
      <c r="AU386" s="13">
        <f>IF(OR(UPPER(TRIM(AC386))="AB", AC386=901, AC386="901"), 0, IF(ISNUMBER(MATCH(UPPER(TRIM(AC386)), {"A+","A","B+","B","C","D","P"}, 0)), 2, 0))</f>
        <v>0</v>
      </c>
      <c r="AV386" s="13">
        <f t="shared" ref="AV386:AV396" si="452">SUM(
IF(OR(UPPER(TRIM(J386))="AB",J386=901,J386="901"),0,IFERROR(VALUE(J386),0)),
IF(OR(UPPER(TRIM(L386))="AB",L386=901,L386="901"),0,IFERROR(VALUE(L386),0)),
IF(OR(UPPER(TRIM(N386))="AB",N386=901,N386="901"),0,IFERROR(VALUE(N386),0))
)</f>
        <v>0</v>
      </c>
      <c r="AW386">
        <f t="shared" ref="AW386:AW396" si="453">AA386+AV386</f>
        <v>0</v>
      </c>
      <c r="AX386" s="1">
        <f t="shared" ref="AX386:AX396" si="454">(AW386 / 50) * 100</f>
        <v>0</v>
      </c>
      <c r="AY386" s="13">
        <f>SUM(AW386:AW396)</f>
        <v>166</v>
      </c>
    </row>
    <row r="387" spans="1:51">
      <c r="A387" s="7">
        <v>5202187</v>
      </c>
      <c r="B387" s="7"/>
      <c r="C387" s="33" t="s">
        <v>95</v>
      </c>
      <c r="D387" s="1" t="s">
        <v>47</v>
      </c>
      <c r="E387" s="3">
        <v>1</v>
      </c>
      <c r="F387" s="1" t="s">
        <v>48</v>
      </c>
      <c r="G387" s="1">
        <v>1171312</v>
      </c>
      <c r="H387" s="2" t="s">
        <v>51</v>
      </c>
      <c r="I387" s="5" t="s">
        <v>50</v>
      </c>
      <c r="J387" s="1">
        <v>12</v>
      </c>
      <c r="K387" s="13" t="str">
        <f t="shared" ref="K387:K396" si="455">IF(OR(UPPER(TRIM(J387))="AB",J387=901,J387="901"),"F",IF(J387&gt;=8,"P","F"))</f>
        <v>P</v>
      </c>
      <c r="L387" s="1">
        <v>2</v>
      </c>
      <c r="M387" s="13" t="str">
        <f t="shared" ref="M387:M396" si="456">IF(OR(UPPER(TRIM(L387))="AB",L387=901,L387="901"),"F",IF(L387&gt;=8,"P","F"))</f>
        <v>F</v>
      </c>
      <c r="AB387" s="7" t="str">
        <f t="shared" si="447"/>
        <v>14</v>
      </c>
      <c r="AC387" s="13" t="str">
        <f t="shared" si="448"/>
        <v>F</v>
      </c>
      <c r="AD387" s="13" t="str">
        <f>AD386</f>
        <v>166</v>
      </c>
      <c r="AE387" s="1">
        <v>550</v>
      </c>
      <c r="AF387" s="15">
        <f t="shared" ref="AF387:AG396" si="457">AF386</f>
        <v>30.181818181818183</v>
      </c>
      <c r="AG387" s="13" t="str">
        <f t="shared" si="457"/>
        <v>ATKT</v>
      </c>
      <c r="AI387" s="1">
        <v>22</v>
      </c>
      <c r="AJ387" s="15">
        <f>AJ386</f>
        <v>8</v>
      </c>
      <c r="AK387" s="16">
        <f>AK386</f>
        <v>32</v>
      </c>
      <c r="AL387" s="7">
        <f>AL386</f>
        <v>0</v>
      </c>
      <c r="AR387" s="7" t="str">
        <f t="shared" si="449"/>
        <v>F</v>
      </c>
      <c r="AS387" s="8">
        <f t="shared" si="450"/>
        <v>0</v>
      </c>
      <c r="AT387" s="8">
        <f t="shared" si="451"/>
        <v>0</v>
      </c>
      <c r="AU387" s="13">
        <f>IF(OR(UPPER(TRIM(AC387))="AB", AC387=901, AC387="901"), 0, IF(ISNUMBER(MATCH(UPPER(TRIM(AC387)), {"A+","A","B+","B","C","D","P"}, 0)), 2, 0))</f>
        <v>0</v>
      </c>
      <c r="AV387" s="13">
        <f t="shared" si="452"/>
        <v>14</v>
      </c>
      <c r="AW387">
        <f t="shared" si="453"/>
        <v>14</v>
      </c>
      <c r="AX387" s="1">
        <f t="shared" si="454"/>
        <v>28.000000000000004</v>
      </c>
      <c r="AY387" s="13">
        <f t="shared" ref="AY387:AY396" si="458">AY386</f>
        <v>166</v>
      </c>
    </row>
    <row r="388" spans="1:51">
      <c r="A388" s="7">
        <v>5202187</v>
      </c>
      <c r="B388" s="7"/>
      <c r="C388" s="33" t="s">
        <v>95</v>
      </c>
      <c r="D388" s="1" t="s">
        <v>47</v>
      </c>
      <c r="E388" s="3">
        <v>1</v>
      </c>
      <c r="F388" s="1" t="s">
        <v>48</v>
      </c>
      <c r="G388" s="1">
        <v>1461111</v>
      </c>
      <c r="H388" s="2" t="s">
        <v>52</v>
      </c>
      <c r="I388" s="5" t="s">
        <v>50</v>
      </c>
      <c r="J388" s="1">
        <v>9</v>
      </c>
      <c r="K388" s="13" t="str">
        <f t="shared" si="455"/>
        <v>P</v>
      </c>
      <c r="L388" s="1">
        <v>4</v>
      </c>
      <c r="M388" s="13" t="str">
        <f t="shared" si="456"/>
        <v>F</v>
      </c>
      <c r="AB388" s="7" t="str">
        <f t="shared" si="447"/>
        <v>13</v>
      </c>
      <c r="AC388" s="13" t="str">
        <f t="shared" si="448"/>
        <v>F</v>
      </c>
      <c r="AD388" s="13" t="str">
        <f t="shared" ref="AD388:AD396" si="459">AD387</f>
        <v>166</v>
      </c>
      <c r="AE388" s="1">
        <v>550</v>
      </c>
      <c r="AF388" s="15">
        <f t="shared" si="457"/>
        <v>30.181818181818183</v>
      </c>
      <c r="AG388" s="13" t="str">
        <f t="shared" si="457"/>
        <v>ATKT</v>
      </c>
      <c r="AI388" s="1">
        <v>22</v>
      </c>
      <c r="AJ388" s="15">
        <f t="shared" ref="AJ388:AL396" si="460">AJ387</f>
        <v>8</v>
      </c>
      <c r="AK388" s="16">
        <f t="shared" si="460"/>
        <v>32</v>
      </c>
      <c r="AL388" s="7">
        <f t="shared" si="460"/>
        <v>0</v>
      </c>
      <c r="AR388" s="7" t="str">
        <f t="shared" si="449"/>
        <v>F</v>
      </c>
      <c r="AS388" s="8">
        <f t="shared" si="450"/>
        <v>0</v>
      </c>
      <c r="AT388" s="8">
        <f t="shared" si="451"/>
        <v>0</v>
      </c>
      <c r="AU388" s="13">
        <f>IF(OR(UPPER(TRIM(AC388))="AB", AC388=901, AC388="901"), 0, IF(ISNUMBER(MATCH(UPPER(TRIM(AC388)), {"A+","A","B+","B","C","D","P"}, 0)), 2, 0))</f>
        <v>0</v>
      </c>
      <c r="AV388" s="13">
        <f t="shared" si="452"/>
        <v>13</v>
      </c>
      <c r="AW388">
        <f t="shared" si="453"/>
        <v>13</v>
      </c>
      <c r="AX388" s="1">
        <f t="shared" si="454"/>
        <v>26</v>
      </c>
      <c r="AY388" s="13">
        <f t="shared" si="458"/>
        <v>166</v>
      </c>
    </row>
    <row r="389" spans="1:51">
      <c r="A389" s="7">
        <v>5202187</v>
      </c>
      <c r="B389" s="7"/>
      <c r="C389" s="33" t="s">
        <v>95</v>
      </c>
      <c r="D389" s="1" t="s">
        <v>47</v>
      </c>
      <c r="E389" s="3">
        <v>1</v>
      </c>
      <c r="F389" s="1" t="s">
        <v>48</v>
      </c>
      <c r="G389" s="1">
        <v>1461112</v>
      </c>
      <c r="H389" s="2" t="s">
        <v>53</v>
      </c>
      <c r="I389" s="5" t="s">
        <v>50</v>
      </c>
      <c r="J389" s="1">
        <v>9</v>
      </c>
      <c r="K389" s="13" t="str">
        <f t="shared" si="455"/>
        <v>P</v>
      </c>
      <c r="L389" s="1">
        <v>12</v>
      </c>
      <c r="M389" s="13" t="str">
        <f t="shared" si="456"/>
        <v>P</v>
      </c>
      <c r="AB389" s="7" t="str">
        <f t="shared" si="447"/>
        <v>21</v>
      </c>
      <c r="AC389" s="13" t="str">
        <f t="shared" si="448"/>
        <v>D</v>
      </c>
      <c r="AD389" s="13" t="str">
        <f t="shared" si="459"/>
        <v>166</v>
      </c>
      <c r="AE389" s="1">
        <v>550</v>
      </c>
      <c r="AF389" s="15">
        <f t="shared" si="457"/>
        <v>30.181818181818183</v>
      </c>
      <c r="AG389" s="13" t="str">
        <f t="shared" si="457"/>
        <v>ATKT</v>
      </c>
      <c r="AI389" s="1">
        <v>22</v>
      </c>
      <c r="AJ389" s="15">
        <f t="shared" si="460"/>
        <v>8</v>
      </c>
      <c r="AK389" s="16">
        <f t="shared" si="460"/>
        <v>32</v>
      </c>
      <c r="AL389" s="7">
        <f t="shared" si="460"/>
        <v>0</v>
      </c>
      <c r="AR389" s="7" t="str">
        <f t="shared" si="449"/>
        <v>F</v>
      </c>
      <c r="AS389" s="8">
        <f t="shared" si="450"/>
        <v>4</v>
      </c>
      <c r="AT389" s="8">
        <f t="shared" si="451"/>
        <v>8</v>
      </c>
      <c r="AU389" s="13">
        <f>IF(OR(UPPER(TRIM(AC389))="AB", AC389=901, AC389="901"), 0, IF(ISNUMBER(MATCH(UPPER(TRIM(AC389)), {"A+","A","B+","B","C","D","P"}, 0)), 2, 0))</f>
        <v>2</v>
      </c>
      <c r="AV389" s="13">
        <f t="shared" si="452"/>
        <v>21</v>
      </c>
      <c r="AW389">
        <f t="shared" si="453"/>
        <v>21</v>
      </c>
      <c r="AX389" s="1">
        <f t="shared" si="454"/>
        <v>42</v>
      </c>
      <c r="AY389" s="13">
        <f t="shared" si="458"/>
        <v>166</v>
      </c>
    </row>
    <row r="390" spans="1:51">
      <c r="A390" s="7">
        <v>5202187</v>
      </c>
      <c r="B390" s="7"/>
      <c r="C390" s="33" t="s">
        <v>95</v>
      </c>
      <c r="D390" s="1" t="s">
        <v>47</v>
      </c>
      <c r="E390" s="3">
        <v>1</v>
      </c>
      <c r="F390" s="1" t="s">
        <v>48</v>
      </c>
      <c r="G390" s="1">
        <v>1461113</v>
      </c>
      <c r="H390" s="2" t="s">
        <v>54</v>
      </c>
      <c r="I390" s="5" t="s">
        <v>50</v>
      </c>
      <c r="J390" s="1">
        <v>10</v>
      </c>
      <c r="K390" s="13" t="str">
        <f t="shared" si="455"/>
        <v>P</v>
      </c>
      <c r="L390" s="1">
        <v>12</v>
      </c>
      <c r="M390" s="13" t="str">
        <f t="shared" si="456"/>
        <v>P</v>
      </c>
      <c r="AB390" s="7" t="str">
        <f t="shared" si="447"/>
        <v>22</v>
      </c>
      <c r="AC390" s="13" t="str">
        <f t="shared" si="448"/>
        <v>D</v>
      </c>
      <c r="AD390" s="13" t="str">
        <f t="shared" si="459"/>
        <v>166</v>
      </c>
      <c r="AE390" s="1">
        <v>550</v>
      </c>
      <c r="AF390" s="15">
        <f t="shared" si="457"/>
        <v>30.181818181818183</v>
      </c>
      <c r="AG390" s="13" t="str">
        <f t="shared" si="457"/>
        <v>ATKT</v>
      </c>
      <c r="AI390" s="1">
        <v>22</v>
      </c>
      <c r="AJ390" s="15">
        <f t="shared" si="460"/>
        <v>8</v>
      </c>
      <c r="AK390" s="16">
        <f t="shared" si="460"/>
        <v>32</v>
      </c>
      <c r="AL390" s="7">
        <f t="shared" si="460"/>
        <v>0</v>
      </c>
      <c r="AR390" s="7" t="str">
        <f t="shared" si="449"/>
        <v>F</v>
      </c>
      <c r="AS390" s="8">
        <f t="shared" si="450"/>
        <v>4</v>
      </c>
      <c r="AT390" s="8">
        <f t="shared" si="451"/>
        <v>8</v>
      </c>
      <c r="AU390" s="13">
        <f>IF(OR(UPPER(TRIM(AC390))="AB", AC390=901, AC390="901"), 0, IF(ISNUMBER(MATCH(UPPER(TRIM(AC390)), {"A+","A","B+","B","C","D","P"}, 0)), 2, 0))</f>
        <v>2</v>
      </c>
      <c r="AV390" s="13">
        <f t="shared" si="452"/>
        <v>22</v>
      </c>
      <c r="AW390">
        <f t="shared" si="453"/>
        <v>22</v>
      </c>
      <c r="AX390" s="1">
        <f t="shared" si="454"/>
        <v>44</v>
      </c>
      <c r="AY390" s="13">
        <f t="shared" si="458"/>
        <v>166</v>
      </c>
    </row>
    <row r="391" spans="1:51">
      <c r="A391" s="7">
        <v>5202187</v>
      </c>
      <c r="B391" s="7"/>
      <c r="C391" s="33" t="s">
        <v>95</v>
      </c>
      <c r="D391" s="1" t="s">
        <v>47</v>
      </c>
      <c r="E391" s="3">
        <v>1</v>
      </c>
      <c r="F391" s="1" t="s">
        <v>48</v>
      </c>
      <c r="G391" s="1">
        <v>1461411</v>
      </c>
      <c r="H391" s="2" t="s">
        <v>55</v>
      </c>
      <c r="I391" s="5" t="s">
        <v>50</v>
      </c>
      <c r="J391" s="1">
        <v>9</v>
      </c>
      <c r="K391" s="13" t="str">
        <f t="shared" si="455"/>
        <v>P</v>
      </c>
      <c r="L391" s="1">
        <v>4</v>
      </c>
      <c r="M391" s="13" t="str">
        <f t="shared" si="456"/>
        <v>F</v>
      </c>
      <c r="AB391" s="7" t="str">
        <f t="shared" si="447"/>
        <v>13</v>
      </c>
      <c r="AC391" s="13" t="str">
        <f t="shared" si="448"/>
        <v>F</v>
      </c>
      <c r="AD391" s="13" t="str">
        <f t="shared" si="459"/>
        <v>166</v>
      </c>
      <c r="AE391" s="1">
        <v>550</v>
      </c>
      <c r="AF391" s="15">
        <f t="shared" si="457"/>
        <v>30.181818181818183</v>
      </c>
      <c r="AG391" s="13" t="str">
        <f t="shared" si="457"/>
        <v>ATKT</v>
      </c>
      <c r="AI391" s="1">
        <v>22</v>
      </c>
      <c r="AJ391" s="15">
        <f t="shared" si="460"/>
        <v>8</v>
      </c>
      <c r="AK391" s="16">
        <f t="shared" si="460"/>
        <v>32</v>
      </c>
      <c r="AL391" s="7">
        <f t="shared" si="460"/>
        <v>0</v>
      </c>
      <c r="AR391" s="7" t="str">
        <f t="shared" si="449"/>
        <v>F</v>
      </c>
      <c r="AS391" s="8">
        <f t="shared" si="450"/>
        <v>0</v>
      </c>
      <c r="AT391" s="8">
        <f t="shared" si="451"/>
        <v>0</v>
      </c>
      <c r="AU391" s="13">
        <f>IF(OR(UPPER(TRIM(AC391))="AB", AC391=901, AC391="901"), 0, IF(ISNUMBER(MATCH(UPPER(TRIM(AC391)), {"A+","A","B+","B","C","D","P"}, 0)), 2, 0))</f>
        <v>0</v>
      </c>
      <c r="AV391" s="13">
        <f t="shared" si="452"/>
        <v>13</v>
      </c>
      <c r="AW391">
        <f t="shared" si="453"/>
        <v>13</v>
      </c>
      <c r="AX391" s="1">
        <f t="shared" si="454"/>
        <v>26</v>
      </c>
      <c r="AY391" s="13">
        <f t="shared" si="458"/>
        <v>166</v>
      </c>
    </row>
    <row r="392" spans="1:51">
      <c r="A392" s="7">
        <v>5202187</v>
      </c>
      <c r="B392" s="7"/>
      <c r="C392" s="33" t="s">
        <v>95</v>
      </c>
      <c r="D392" s="1" t="s">
        <v>47</v>
      </c>
      <c r="E392" s="3">
        <v>1</v>
      </c>
      <c r="F392" s="1" t="s">
        <v>48</v>
      </c>
      <c r="G392" s="1">
        <v>1461412</v>
      </c>
      <c r="H392" s="2" t="s">
        <v>56</v>
      </c>
      <c r="I392" s="5" t="s">
        <v>50</v>
      </c>
      <c r="J392" s="1">
        <v>9</v>
      </c>
      <c r="K392" s="13" t="str">
        <f t="shared" si="455"/>
        <v>P</v>
      </c>
      <c r="L392" s="1">
        <v>12</v>
      </c>
      <c r="M392" s="13" t="str">
        <f t="shared" si="456"/>
        <v>P</v>
      </c>
      <c r="AB392" s="7" t="str">
        <f t="shared" si="447"/>
        <v>21</v>
      </c>
      <c r="AC392" s="13" t="str">
        <f t="shared" si="448"/>
        <v>D</v>
      </c>
      <c r="AD392" s="13" t="str">
        <f t="shared" si="459"/>
        <v>166</v>
      </c>
      <c r="AE392" s="1">
        <v>550</v>
      </c>
      <c r="AF392" s="15">
        <f t="shared" si="457"/>
        <v>30.181818181818183</v>
      </c>
      <c r="AG392" s="13" t="str">
        <f t="shared" si="457"/>
        <v>ATKT</v>
      </c>
      <c r="AI392" s="1">
        <v>22</v>
      </c>
      <c r="AJ392" s="15">
        <f t="shared" si="460"/>
        <v>8</v>
      </c>
      <c r="AK392" s="16">
        <f t="shared" si="460"/>
        <v>32</v>
      </c>
      <c r="AL392" s="7">
        <f t="shared" si="460"/>
        <v>0</v>
      </c>
      <c r="AR392" s="7" t="str">
        <f t="shared" si="449"/>
        <v>F</v>
      </c>
      <c r="AS392" s="8">
        <f t="shared" si="450"/>
        <v>4</v>
      </c>
      <c r="AT392" s="8">
        <f t="shared" si="451"/>
        <v>8</v>
      </c>
      <c r="AU392" s="13">
        <f>IF(OR(UPPER(TRIM(AC392))="AB", AC392=901, AC392="901"), 0, IF(ISNUMBER(MATCH(UPPER(TRIM(AC392)), {"A+","A","B+","B","C","D","P"}, 0)), 2, 0))</f>
        <v>2</v>
      </c>
      <c r="AV392" s="13">
        <f t="shared" si="452"/>
        <v>21</v>
      </c>
      <c r="AW392">
        <f t="shared" si="453"/>
        <v>21</v>
      </c>
      <c r="AX392" s="1">
        <f t="shared" si="454"/>
        <v>42</v>
      </c>
      <c r="AY392" s="13">
        <f t="shared" si="458"/>
        <v>166</v>
      </c>
    </row>
    <row r="393" spans="1:51">
      <c r="A393" s="7">
        <v>5202187</v>
      </c>
      <c r="B393" s="7"/>
      <c r="C393" s="33" t="s">
        <v>95</v>
      </c>
      <c r="D393" s="1" t="s">
        <v>47</v>
      </c>
      <c r="E393" s="3">
        <v>1</v>
      </c>
      <c r="F393" s="1" t="s">
        <v>48</v>
      </c>
      <c r="G393" s="1">
        <v>2511515</v>
      </c>
      <c r="H393" s="2" t="s">
        <v>57</v>
      </c>
      <c r="I393" s="5" t="s">
        <v>50</v>
      </c>
      <c r="J393" s="1">
        <v>9</v>
      </c>
      <c r="K393" s="13" t="str">
        <f t="shared" si="455"/>
        <v>P</v>
      </c>
      <c r="L393" s="1">
        <v>5</v>
      </c>
      <c r="M393" s="13" t="str">
        <f t="shared" si="456"/>
        <v>F</v>
      </c>
      <c r="AB393" s="7" t="str">
        <f t="shared" si="447"/>
        <v>14</v>
      </c>
      <c r="AC393" s="13" t="str">
        <f t="shared" si="448"/>
        <v>F</v>
      </c>
      <c r="AD393" s="13" t="str">
        <f t="shared" si="459"/>
        <v>166</v>
      </c>
      <c r="AE393" s="1">
        <v>550</v>
      </c>
      <c r="AF393" s="15">
        <f t="shared" si="457"/>
        <v>30.181818181818183</v>
      </c>
      <c r="AG393" s="13" t="str">
        <f t="shared" si="457"/>
        <v>ATKT</v>
      </c>
      <c r="AI393" s="1">
        <v>22</v>
      </c>
      <c r="AJ393" s="15">
        <f t="shared" si="460"/>
        <v>8</v>
      </c>
      <c r="AK393" s="16">
        <f t="shared" si="460"/>
        <v>32</v>
      </c>
      <c r="AL393" s="7">
        <f t="shared" si="460"/>
        <v>0</v>
      </c>
      <c r="AR393" s="7" t="str">
        <f t="shared" si="449"/>
        <v>F</v>
      </c>
      <c r="AS393" s="8">
        <f t="shared" si="450"/>
        <v>0</v>
      </c>
      <c r="AT393" s="8">
        <f t="shared" si="451"/>
        <v>0</v>
      </c>
      <c r="AU393" s="13">
        <f>IF(OR(UPPER(TRIM(AC393))="AB", AC393=901, AC393="901"), 0, IF(ISNUMBER(MATCH(UPPER(TRIM(AC393)), {"A+","A","B+","B","C","D","P"}, 0)), 2, 0))</f>
        <v>0</v>
      </c>
      <c r="AV393" s="13">
        <f t="shared" si="452"/>
        <v>14</v>
      </c>
      <c r="AW393">
        <f t="shared" si="453"/>
        <v>14</v>
      </c>
      <c r="AX393" s="1">
        <f t="shared" si="454"/>
        <v>28.000000000000004</v>
      </c>
      <c r="AY393" s="13">
        <f t="shared" si="458"/>
        <v>166</v>
      </c>
    </row>
    <row r="394" spans="1:51" ht="28.8">
      <c r="A394" s="7">
        <v>5202187</v>
      </c>
      <c r="B394" s="7"/>
      <c r="C394" s="33" t="s">
        <v>95</v>
      </c>
      <c r="D394" s="1" t="s">
        <v>47</v>
      </c>
      <c r="E394" s="3">
        <v>1</v>
      </c>
      <c r="F394" s="1" t="s">
        <v>48</v>
      </c>
      <c r="G394" s="1">
        <v>2521615</v>
      </c>
      <c r="H394" s="30" t="s">
        <v>96</v>
      </c>
      <c r="I394" s="5" t="s">
        <v>50</v>
      </c>
      <c r="J394" s="1">
        <v>12</v>
      </c>
      <c r="K394" s="13" t="str">
        <f t="shared" si="455"/>
        <v>P</v>
      </c>
      <c r="L394" s="1">
        <v>12</v>
      </c>
      <c r="M394" s="13" t="str">
        <f t="shared" si="456"/>
        <v>P</v>
      </c>
      <c r="AB394" s="7" t="str">
        <f t="shared" si="447"/>
        <v>24</v>
      </c>
      <c r="AC394" s="13" t="str">
        <f t="shared" si="448"/>
        <v>D</v>
      </c>
      <c r="AD394" s="13" t="str">
        <f t="shared" si="459"/>
        <v>166</v>
      </c>
      <c r="AE394" s="1">
        <v>550</v>
      </c>
      <c r="AF394" s="15">
        <f t="shared" si="457"/>
        <v>30.181818181818183</v>
      </c>
      <c r="AG394" s="13" t="str">
        <f t="shared" si="457"/>
        <v>ATKT</v>
      </c>
      <c r="AI394" s="1">
        <v>22</v>
      </c>
      <c r="AJ394" s="15">
        <f t="shared" si="460"/>
        <v>8</v>
      </c>
      <c r="AK394" s="16">
        <f t="shared" si="460"/>
        <v>32</v>
      </c>
      <c r="AL394" s="7">
        <f t="shared" si="460"/>
        <v>0</v>
      </c>
      <c r="AR394" s="7" t="str">
        <f t="shared" si="449"/>
        <v>F</v>
      </c>
      <c r="AS394" s="8">
        <f t="shared" si="450"/>
        <v>4</v>
      </c>
      <c r="AT394" s="8">
        <f t="shared" si="451"/>
        <v>8</v>
      </c>
      <c r="AU394" s="13">
        <f>IF(OR(UPPER(TRIM(AC394))="AB", AC394=901, AC394="901"), 0, IF(ISNUMBER(MATCH(UPPER(TRIM(AC394)), {"A+","A","B+","B","C","D","P"}, 0)), 2, 0))</f>
        <v>2</v>
      </c>
      <c r="AV394" s="13">
        <f t="shared" si="452"/>
        <v>24</v>
      </c>
      <c r="AW394">
        <f t="shared" si="453"/>
        <v>24</v>
      </c>
      <c r="AX394" s="1">
        <f t="shared" si="454"/>
        <v>48</v>
      </c>
      <c r="AY394" s="13">
        <f t="shared" si="458"/>
        <v>166</v>
      </c>
    </row>
    <row r="395" spans="1:51">
      <c r="A395" s="7">
        <v>5202187</v>
      </c>
      <c r="B395" s="7"/>
      <c r="C395" s="33" t="s">
        <v>95</v>
      </c>
      <c r="D395" s="1" t="s">
        <v>47</v>
      </c>
      <c r="E395" s="3">
        <v>1</v>
      </c>
      <c r="F395" s="1" t="s">
        <v>48</v>
      </c>
      <c r="G395" s="1">
        <v>2531511</v>
      </c>
      <c r="H395" s="2" t="s">
        <v>59</v>
      </c>
      <c r="I395" s="5" t="s">
        <v>50</v>
      </c>
      <c r="J395" s="1">
        <v>12</v>
      </c>
      <c r="K395" s="13" t="str">
        <f t="shared" si="455"/>
        <v>P</v>
      </c>
      <c r="L395" s="1">
        <v>2</v>
      </c>
      <c r="M395" s="13" t="str">
        <f t="shared" si="456"/>
        <v>F</v>
      </c>
      <c r="AB395" s="7" t="str">
        <f t="shared" si="447"/>
        <v>14</v>
      </c>
      <c r="AC395" s="13" t="str">
        <f t="shared" si="448"/>
        <v>F</v>
      </c>
      <c r="AD395" s="13" t="str">
        <f t="shared" si="459"/>
        <v>166</v>
      </c>
      <c r="AE395" s="1">
        <v>550</v>
      </c>
      <c r="AF395" s="15">
        <f t="shared" si="457"/>
        <v>30.181818181818183</v>
      </c>
      <c r="AG395" s="13" t="str">
        <f t="shared" si="457"/>
        <v>ATKT</v>
      </c>
      <c r="AI395" s="1">
        <v>22</v>
      </c>
      <c r="AJ395" s="15">
        <f t="shared" si="460"/>
        <v>8</v>
      </c>
      <c r="AK395" s="16">
        <f t="shared" si="460"/>
        <v>32</v>
      </c>
      <c r="AL395" s="7">
        <f t="shared" si="460"/>
        <v>0</v>
      </c>
      <c r="AR395" s="7" t="str">
        <f t="shared" si="449"/>
        <v>F</v>
      </c>
      <c r="AS395" s="8">
        <f t="shared" si="450"/>
        <v>0</v>
      </c>
      <c r="AT395" s="8">
        <f t="shared" si="451"/>
        <v>0</v>
      </c>
      <c r="AU395" s="13">
        <f>IF(OR(UPPER(TRIM(AC395))="AB", AC395=901, AC395="901"), 0, IF(ISNUMBER(MATCH(UPPER(TRIM(AC395)), {"A+","A","B+","B","C","D","P"}, 0)), 2, 0))</f>
        <v>0</v>
      </c>
      <c r="AV395" s="13">
        <f t="shared" si="452"/>
        <v>14</v>
      </c>
      <c r="AW395">
        <f t="shared" si="453"/>
        <v>14</v>
      </c>
      <c r="AX395" s="1">
        <f t="shared" si="454"/>
        <v>28.000000000000004</v>
      </c>
      <c r="AY395" s="13">
        <f t="shared" si="458"/>
        <v>166</v>
      </c>
    </row>
    <row r="396" spans="1:51">
      <c r="A396" s="7">
        <v>5202187</v>
      </c>
      <c r="B396" s="7"/>
      <c r="C396" s="33" t="s">
        <v>95</v>
      </c>
      <c r="D396" s="1" t="s">
        <v>47</v>
      </c>
      <c r="E396" s="3">
        <v>1</v>
      </c>
      <c r="F396" s="1" t="s">
        <v>48</v>
      </c>
      <c r="G396" s="1">
        <v>2541515</v>
      </c>
      <c r="H396" s="2" t="s">
        <v>60</v>
      </c>
      <c r="I396" s="5" t="s">
        <v>50</v>
      </c>
      <c r="J396" s="1">
        <v>10</v>
      </c>
      <c r="K396" s="13" t="str">
        <f t="shared" si="455"/>
        <v>P</v>
      </c>
      <c r="L396" s="6">
        <v>0</v>
      </c>
      <c r="M396" s="13" t="str">
        <f t="shared" si="456"/>
        <v>F</v>
      </c>
      <c r="AB396" s="7" t="str">
        <f t="shared" si="447"/>
        <v>10</v>
      </c>
      <c r="AC396" s="13" t="str">
        <f t="shared" si="448"/>
        <v>F</v>
      </c>
      <c r="AD396" s="13" t="str">
        <f t="shared" si="459"/>
        <v>166</v>
      </c>
      <c r="AE396" s="1">
        <v>550</v>
      </c>
      <c r="AF396" s="15">
        <f t="shared" si="457"/>
        <v>30.181818181818183</v>
      </c>
      <c r="AG396" s="13" t="str">
        <f t="shared" si="457"/>
        <v>ATKT</v>
      </c>
      <c r="AI396" s="1">
        <v>22</v>
      </c>
      <c r="AJ396" s="15">
        <f t="shared" si="460"/>
        <v>8</v>
      </c>
      <c r="AK396" s="16">
        <f t="shared" si="460"/>
        <v>32</v>
      </c>
      <c r="AL396" s="7">
        <f t="shared" si="460"/>
        <v>0</v>
      </c>
      <c r="AR396" s="7" t="str">
        <f t="shared" si="449"/>
        <v>F</v>
      </c>
      <c r="AS396" s="8">
        <f t="shared" si="450"/>
        <v>0</v>
      </c>
      <c r="AT396" s="8">
        <f t="shared" si="451"/>
        <v>0</v>
      </c>
      <c r="AU396" s="13">
        <f>IF(OR(UPPER(TRIM(AC396))="AB", AC396=901, AC396="901"), 0, IF(ISNUMBER(MATCH(UPPER(TRIM(AC396)), {"A+","A","B+","B","C","D","P"}, 0)), 2, 0))</f>
        <v>0</v>
      </c>
      <c r="AV396" s="13">
        <f t="shared" si="452"/>
        <v>10</v>
      </c>
      <c r="AW396">
        <f t="shared" si="453"/>
        <v>10</v>
      </c>
      <c r="AX396" s="1">
        <f t="shared" si="454"/>
        <v>20</v>
      </c>
      <c r="AY396" s="13">
        <f t="shared" si="458"/>
        <v>166</v>
      </c>
    </row>
    <row r="398" spans="1:51">
      <c r="A398" s="7">
        <v>5084774</v>
      </c>
      <c r="B398" s="7"/>
      <c r="C398" s="33" t="s">
        <v>98</v>
      </c>
      <c r="D398" s="1" t="s">
        <v>47</v>
      </c>
      <c r="E398" s="3">
        <v>1</v>
      </c>
      <c r="F398" s="1" t="s">
        <v>48</v>
      </c>
      <c r="G398" s="1">
        <v>1011312</v>
      </c>
      <c r="H398" s="2" t="s">
        <v>49</v>
      </c>
      <c r="I398" s="5" t="s">
        <v>50</v>
      </c>
      <c r="J398" s="6">
        <v>11</v>
      </c>
      <c r="K398" s="13" t="str">
        <f>IF(OR(UPPER(TRIM(J398))="AB",J398=901,J398="901"),"F",IF(J398&gt;=8,"P","F"))</f>
        <v>P</v>
      </c>
      <c r="L398" s="1">
        <v>19</v>
      </c>
      <c r="M398" s="13" t="str">
        <f>IF(OR(UPPER(TRIM(L398))="AB",L398=901,L398="901"),"F",IF(L398&gt;=8,"P","F"))</f>
        <v>P</v>
      </c>
      <c r="N398" s="13"/>
      <c r="O398" s="13"/>
      <c r="P398" s="13"/>
      <c r="Q398" s="13"/>
      <c r="R398" s="13"/>
      <c r="S398" s="13"/>
      <c r="T398" s="13"/>
      <c r="U398" s="13"/>
      <c r="V398" s="13"/>
      <c r="W398" s="13"/>
      <c r="X398" s="13"/>
      <c r="Y398" s="13"/>
      <c r="Z398" s="13"/>
      <c r="AB398" s="7" t="str">
        <f t="shared" ref="AB398:AB408" si="461">AV398 &amp; IF(AA398&lt;&gt;"", " @ " &amp; AA398, "")</f>
        <v>30</v>
      </c>
      <c r="AC398" s="13" t="str">
        <f t="shared" ref="AC398:AC408" si="462">IF(AX398&gt;=90,"O",
IF(AX398&gt;=80,"A+",
IF(AX398&gt;=70,"A",
IF(AX398&gt;=60,"B+",
IF(AX398&gt;=55,"B",
IF(AX398&gt;=50,"C",
IF(AX398&gt;=40,"D","F")))))))</f>
        <v>B+</v>
      </c>
      <c r="AD398" s="13" t="str">
        <f>SUM(AV398:AV408) &amp; IF(SUM(AA398:AA408)&gt;0, " @ " &amp; SUM(AA398:AA408), "")</f>
        <v>211</v>
      </c>
      <c r="AE398" s="1">
        <v>550</v>
      </c>
      <c r="AF398" s="15">
        <f>AY398/AE398*100</f>
        <v>38.36363636363636</v>
      </c>
      <c r="AG398" s="13" t="str" cm="1">
        <f t="array" ref="AG398">IF(
  SUMPRODUCT(--(IFERROR(VALUE(J398:J408),9999)&lt;8))
  + SUMPRODUCT(--(IFERROR(VALUE(L398:L408),9999)&lt;12))
  + COUNTIF(J398:J408,"AB") + COUNTIF(L398:L408,"AB")
  + COUNTIF(J398:J408,901) + COUNTIF(L398:L408,901) &gt; 0,
  "ATKT",
  "PASS"
)</f>
        <v>ATKT</v>
      </c>
      <c r="AI398" s="1">
        <v>22</v>
      </c>
      <c r="AJ398" s="15">
        <f>SUM(AU398:AU408)</f>
        <v>10</v>
      </c>
      <c r="AK398" s="16">
        <f>SUM(AT398:AT408)</f>
        <v>54</v>
      </c>
      <c r="AL398" s="7">
        <f>IF(UPPER(TRIM(AG398))="ATKT",0,ROUND( (SUM(AT398:AT408) /22), 2))</f>
        <v>0</v>
      </c>
      <c r="AR398" s="7" t="str">
        <f t="shared" ref="AR398:AR408" si="463">IF(AL398&gt;=9,"O", IF(AL398&gt;=8,"A+", IF(AL398&gt;=7,"A", IF(AL398&gt;=6,"B+", IF(AL398&gt;=5.5,"B", IF(AL398&gt;=5,"C", IF(AL398&gt;=4,"D","F")))))))</f>
        <v>F</v>
      </c>
      <c r="AS398" s="8">
        <f t="shared" ref="AS398:AS408" si="464">IF(AX398&gt;=90,10,
IF(AX398&gt;=80,9,
IF(AX398&gt;=70,8,
IF(AX398&gt;=60,7,
IF(AX398&gt;=55,6,
IF(AX398&gt;=50,5,
IF(AX398&gt;=40,4,0)))))))</f>
        <v>7</v>
      </c>
      <c r="AT398" s="8">
        <f t="shared" ref="AT398:AT408" si="465">AS398*I398</f>
        <v>14</v>
      </c>
      <c r="AU398" s="13">
        <f>IF(OR(UPPER(TRIM(AC398))="AB", AC398=901, AC398="901"), 0, IF(ISNUMBER(MATCH(UPPER(TRIM(AC398)), {"A+","A","B+","B","C","D","P"}, 0)), 2, 0))</f>
        <v>2</v>
      </c>
      <c r="AV398" s="13">
        <f t="shared" ref="AV398:AV408" si="466">SUM(
IF(OR(UPPER(TRIM(J398))="AB",J398=901,J398="901"),0,IFERROR(VALUE(J398),0)),
IF(OR(UPPER(TRIM(L398))="AB",L398=901,L398="901"),0,IFERROR(VALUE(L398),0)),
IF(OR(UPPER(TRIM(N398))="AB",N398=901,N398="901"),0,IFERROR(VALUE(N398),0))
)</f>
        <v>30</v>
      </c>
      <c r="AW398">
        <f t="shared" ref="AW398:AW408" si="467">AA398+AV398</f>
        <v>30</v>
      </c>
      <c r="AX398" s="1">
        <f t="shared" ref="AX398:AX408" si="468">(AW398 / 50) * 100</f>
        <v>60</v>
      </c>
      <c r="AY398" s="13">
        <f>SUM(AW398:AW408)</f>
        <v>211</v>
      </c>
    </row>
    <row r="399" spans="1:51">
      <c r="A399" s="7">
        <v>5084774</v>
      </c>
      <c r="B399" s="7"/>
      <c r="C399" s="33" t="s">
        <v>98</v>
      </c>
      <c r="D399" s="1" t="s">
        <v>47</v>
      </c>
      <c r="E399" s="3">
        <v>1</v>
      </c>
      <c r="F399" s="1" t="s">
        <v>48</v>
      </c>
      <c r="G399" s="1">
        <v>1171312</v>
      </c>
      <c r="H399" s="2" t="s">
        <v>51</v>
      </c>
      <c r="I399" s="5" t="s">
        <v>50</v>
      </c>
      <c r="J399" s="1">
        <v>18</v>
      </c>
      <c r="K399" s="13" t="str">
        <f t="shared" ref="K399:K408" si="469">IF(OR(UPPER(TRIM(J399))="AB",J399=901,J399="901"),"F",IF(J399&gt;=8,"P","F"))</f>
        <v>P</v>
      </c>
      <c r="L399" s="1">
        <v>12</v>
      </c>
      <c r="M399" s="13" t="str">
        <f t="shared" ref="M399:M408" si="470">IF(OR(UPPER(TRIM(L399))="AB",L399=901,L399="901"),"F",IF(L399&gt;=8,"P","F"))</f>
        <v>P</v>
      </c>
      <c r="AB399" s="7" t="str">
        <f t="shared" si="461"/>
        <v>30</v>
      </c>
      <c r="AC399" s="13" t="str">
        <f t="shared" si="462"/>
        <v>B+</v>
      </c>
      <c r="AD399" s="13" t="str">
        <f>AD398</f>
        <v>211</v>
      </c>
      <c r="AE399" s="1">
        <v>550</v>
      </c>
      <c r="AF399" s="15">
        <f t="shared" ref="AF399:AG408" si="471">AF398</f>
        <v>38.36363636363636</v>
      </c>
      <c r="AG399" s="13" t="str">
        <f t="shared" si="471"/>
        <v>ATKT</v>
      </c>
      <c r="AI399" s="1">
        <v>22</v>
      </c>
      <c r="AJ399" s="15">
        <f>AJ398</f>
        <v>10</v>
      </c>
      <c r="AK399" s="16">
        <f>AK398</f>
        <v>54</v>
      </c>
      <c r="AL399" s="7">
        <f>AL398</f>
        <v>0</v>
      </c>
      <c r="AR399" s="7" t="str">
        <f t="shared" si="463"/>
        <v>F</v>
      </c>
      <c r="AS399" s="8">
        <f t="shared" si="464"/>
        <v>7</v>
      </c>
      <c r="AT399" s="8">
        <f t="shared" si="465"/>
        <v>14</v>
      </c>
      <c r="AU399" s="13">
        <f>IF(OR(UPPER(TRIM(AC399))="AB", AC399=901, AC399="901"), 0, IF(ISNUMBER(MATCH(UPPER(TRIM(AC399)), {"A+","A","B+","B","C","D","P"}, 0)), 2, 0))</f>
        <v>2</v>
      </c>
      <c r="AV399" s="13">
        <f t="shared" si="466"/>
        <v>30</v>
      </c>
      <c r="AW399">
        <f t="shared" si="467"/>
        <v>30</v>
      </c>
      <c r="AX399" s="1">
        <f t="shared" si="468"/>
        <v>60</v>
      </c>
      <c r="AY399" s="13">
        <f t="shared" ref="AY399:AY408" si="472">AY398</f>
        <v>211</v>
      </c>
    </row>
    <row r="400" spans="1:51">
      <c r="A400" s="7">
        <v>5084774</v>
      </c>
      <c r="B400" s="7"/>
      <c r="C400" s="33" t="s">
        <v>98</v>
      </c>
      <c r="D400" s="1" t="s">
        <v>47</v>
      </c>
      <c r="E400" s="3">
        <v>1</v>
      </c>
      <c r="F400" s="1" t="s">
        <v>48</v>
      </c>
      <c r="G400" s="1">
        <v>1461111</v>
      </c>
      <c r="H400" s="2" t="s">
        <v>52</v>
      </c>
      <c r="I400" s="5" t="s">
        <v>50</v>
      </c>
      <c r="J400" s="1">
        <v>12</v>
      </c>
      <c r="K400" s="13" t="str">
        <f t="shared" si="469"/>
        <v>P</v>
      </c>
      <c r="L400" s="1">
        <v>2</v>
      </c>
      <c r="M400" s="13" t="str">
        <f t="shared" si="470"/>
        <v>F</v>
      </c>
      <c r="AB400" s="7" t="str">
        <f t="shared" si="461"/>
        <v>14</v>
      </c>
      <c r="AC400" s="13" t="str">
        <f t="shared" si="462"/>
        <v>F</v>
      </c>
      <c r="AD400" s="13" t="str">
        <f t="shared" ref="AD400:AD408" si="473">AD399</f>
        <v>211</v>
      </c>
      <c r="AE400" s="1">
        <v>550</v>
      </c>
      <c r="AF400" s="15">
        <f t="shared" si="471"/>
        <v>38.36363636363636</v>
      </c>
      <c r="AG400" s="13" t="str">
        <f t="shared" si="471"/>
        <v>ATKT</v>
      </c>
      <c r="AI400" s="1">
        <v>22</v>
      </c>
      <c r="AJ400" s="15">
        <f t="shared" ref="AJ400:AL408" si="474">AJ399</f>
        <v>10</v>
      </c>
      <c r="AK400" s="16">
        <f t="shared" si="474"/>
        <v>54</v>
      </c>
      <c r="AL400" s="7">
        <f t="shared" si="474"/>
        <v>0</v>
      </c>
      <c r="AR400" s="7" t="str">
        <f t="shared" si="463"/>
        <v>F</v>
      </c>
      <c r="AS400" s="8">
        <f t="shared" si="464"/>
        <v>0</v>
      </c>
      <c r="AT400" s="8">
        <f t="shared" si="465"/>
        <v>0</v>
      </c>
      <c r="AU400" s="13">
        <f>IF(OR(UPPER(TRIM(AC400))="AB", AC400=901, AC400="901"), 0, IF(ISNUMBER(MATCH(UPPER(TRIM(AC400)), {"A+","A","B+","B","C","D","P"}, 0)), 2, 0))</f>
        <v>0</v>
      </c>
      <c r="AV400" s="13">
        <f t="shared" si="466"/>
        <v>14</v>
      </c>
      <c r="AW400">
        <f t="shared" si="467"/>
        <v>14</v>
      </c>
      <c r="AX400" s="1">
        <f t="shared" si="468"/>
        <v>28.000000000000004</v>
      </c>
      <c r="AY400" s="13">
        <f t="shared" si="472"/>
        <v>211</v>
      </c>
    </row>
    <row r="401" spans="1:51">
      <c r="A401" s="7">
        <v>5084774</v>
      </c>
      <c r="B401" s="7"/>
      <c r="C401" s="33" t="s">
        <v>98</v>
      </c>
      <c r="D401" s="1" t="s">
        <v>47</v>
      </c>
      <c r="E401" s="3">
        <v>1</v>
      </c>
      <c r="F401" s="1" t="s">
        <v>48</v>
      </c>
      <c r="G401" s="1">
        <v>1461112</v>
      </c>
      <c r="H401" s="2" t="s">
        <v>53</v>
      </c>
      <c r="I401" s="5" t="s">
        <v>50</v>
      </c>
      <c r="J401" s="1">
        <v>12</v>
      </c>
      <c r="K401" s="13" t="str">
        <f t="shared" si="469"/>
        <v>P</v>
      </c>
      <c r="L401" s="1">
        <v>0</v>
      </c>
      <c r="M401" s="13" t="str">
        <f t="shared" si="470"/>
        <v>F</v>
      </c>
      <c r="AB401" s="7" t="str">
        <f t="shared" si="461"/>
        <v>12</v>
      </c>
      <c r="AC401" s="13" t="str">
        <f t="shared" si="462"/>
        <v>F</v>
      </c>
      <c r="AD401" s="13" t="str">
        <f t="shared" si="473"/>
        <v>211</v>
      </c>
      <c r="AE401" s="1">
        <v>550</v>
      </c>
      <c r="AF401" s="15">
        <f t="shared" si="471"/>
        <v>38.36363636363636</v>
      </c>
      <c r="AG401" s="13" t="str">
        <f t="shared" si="471"/>
        <v>ATKT</v>
      </c>
      <c r="AI401" s="1">
        <v>22</v>
      </c>
      <c r="AJ401" s="15">
        <f t="shared" si="474"/>
        <v>10</v>
      </c>
      <c r="AK401" s="16">
        <f t="shared" si="474"/>
        <v>54</v>
      </c>
      <c r="AL401" s="7">
        <f t="shared" si="474"/>
        <v>0</v>
      </c>
      <c r="AR401" s="7" t="str">
        <f t="shared" si="463"/>
        <v>F</v>
      </c>
      <c r="AS401" s="8">
        <f t="shared" si="464"/>
        <v>0</v>
      </c>
      <c r="AT401" s="8">
        <f t="shared" si="465"/>
        <v>0</v>
      </c>
      <c r="AU401" s="13">
        <f>IF(OR(UPPER(TRIM(AC401))="AB", AC401=901, AC401="901"), 0, IF(ISNUMBER(MATCH(UPPER(TRIM(AC401)), {"A+","A","B+","B","C","D","P"}, 0)), 2, 0))</f>
        <v>0</v>
      </c>
      <c r="AV401" s="13">
        <f t="shared" si="466"/>
        <v>12</v>
      </c>
      <c r="AW401">
        <f t="shared" si="467"/>
        <v>12</v>
      </c>
      <c r="AX401" s="1">
        <f t="shared" si="468"/>
        <v>24</v>
      </c>
      <c r="AY401" s="13">
        <f t="shared" si="472"/>
        <v>211</v>
      </c>
    </row>
    <row r="402" spans="1:51">
      <c r="A402" s="7">
        <v>5084774</v>
      </c>
      <c r="B402" s="7"/>
      <c r="C402" s="33" t="s">
        <v>98</v>
      </c>
      <c r="D402" s="1" t="s">
        <v>47</v>
      </c>
      <c r="E402" s="3">
        <v>1</v>
      </c>
      <c r="F402" s="1" t="s">
        <v>48</v>
      </c>
      <c r="G402" s="1">
        <v>1461113</v>
      </c>
      <c r="H402" s="2" t="s">
        <v>54</v>
      </c>
      <c r="I402" s="5" t="s">
        <v>50</v>
      </c>
      <c r="J402" s="1">
        <v>15</v>
      </c>
      <c r="K402" s="13" t="str">
        <f t="shared" si="469"/>
        <v>P</v>
      </c>
      <c r="L402" s="1">
        <v>12</v>
      </c>
      <c r="M402" s="13" t="str">
        <f t="shared" si="470"/>
        <v>P</v>
      </c>
      <c r="AB402" s="7" t="str">
        <f t="shared" si="461"/>
        <v>27</v>
      </c>
      <c r="AC402" s="13" t="str">
        <f t="shared" si="462"/>
        <v>C</v>
      </c>
      <c r="AD402" s="13" t="str">
        <f t="shared" si="473"/>
        <v>211</v>
      </c>
      <c r="AE402" s="1">
        <v>550</v>
      </c>
      <c r="AF402" s="15">
        <f t="shared" si="471"/>
        <v>38.36363636363636</v>
      </c>
      <c r="AG402" s="13" t="str">
        <f t="shared" si="471"/>
        <v>ATKT</v>
      </c>
      <c r="AI402" s="1">
        <v>22</v>
      </c>
      <c r="AJ402" s="15">
        <f t="shared" si="474"/>
        <v>10</v>
      </c>
      <c r="AK402" s="16">
        <f t="shared" si="474"/>
        <v>54</v>
      </c>
      <c r="AL402" s="7">
        <f t="shared" si="474"/>
        <v>0</v>
      </c>
      <c r="AR402" s="7" t="str">
        <f t="shared" si="463"/>
        <v>F</v>
      </c>
      <c r="AS402" s="8">
        <f t="shared" si="464"/>
        <v>5</v>
      </c>
      <c r="AT402" s="8">
        <f t="shared" si="465"/>
        <v>10</v>
      </c>
      <c r="AU402" s="13">
        <f>IF(OR(UPPER(TRIM(AC402))="AB", AC402=901, AC402="901"), 0, IF(ISNUMBER(MATCH(UPPER(TRIM(AC402)), {"A+","A","B+","B","C","D","P"}, 0)), 2, 0))</f>
        <v>2</v>
      </c>
      <c r="AV402" s="13">
        <f t="shared" si="466"/>
        <v>27</v>
      </c>
      <c r="AW402">
        <f t="shared" si="467"/>
        <v>27</v>
      </c>
      <c r="AX402" s="1">
        <f t="shared" si="468"/>
        <v>54</v>
      </c>
      <c r="AY402" s="13">
        <f t="shared" si="472"/>
        <v>211</v>
      </c>
    </row>
    <row r="403" spans="1:51">
      <c r="A403" s="7">
        <v>5084774</v>
      </c>
      <c r="B403" s="7"/>
      <c r="C403" s="33" t="s">
        <v>98</v>
      </c>
      <c r="D403" s="1" t="s">
        <v>47</v>
      </c>
      <c r="E403" s="3">
        <v>1</v>
      </c>
      <c r="F403" s="1" t="s">
        <v>48</v>
      </c>
      <c r="G403" s="1">
        <v>1461411</v>
      </c>
      <c r="H403" s="2" t="s">
        <v>55</v>
      </c>
      <c r="I403" s="5" t="s">
        <v>50</v>
      </c>
      <c r="J403" s="1">
        <v>11</v>
      </c>
      <c r="K403" s="13" t="str">
        <f t="shared" si="469"/>
        <v>P</v>
      </c>
      <c r="L403" s="1">
        <v>0</v>
      </c>
      <c r="M403" s="13" t="str">
        <f t="shared" si="470"/>
        <v>F</v>
      </c>
      <c r="AB403" s="7" t="str">
        <f t="shared" si="461"/>
        <v>11</v>
      </c>
      <c r="AC403" s="13" t="str">
        <f t="shared" si="462"/>
        <v>F</v>
      </c>
      <c r="AD403" s="13" t="str">
        <f t="shared" si="473"/>
        <v>211</v>
      </c>
      <c r="AE403" s="1">
        <v>550</v>
      </c>
      <c r="AF403" s="15">
        <f t="shared" si="471"/>
        <v>38.36363636363636</v>
      </c>
      <c r="AG403" s="13" t="str">
        <f t="shared" si="471"/>
        <v>ATKT</v>
      </c>
      <c r="AI403" s="1">
        <v>22</v>
      </c>
      <c r="AJ403" s="15">
        <f t="shared" si="474"/>
        <v>10</v>
      </c>
      <c r="AK403" s="16">
        <f t="shared" si="474"/>
        <v>54</v>
      </c>
      <c r="AL403" s="7">
        <f t="shared" si="474"/>
        <v>0</v>
      </c>
      <c r="AR403" s="7" t="str">
        <f t="shared" si="463"/>
        <v>F</v>
      </c>
      <c r="AS403" s="8">
        <f t="shared" si="464"/>
        <v>0</v>
      </c>
      <c r="AT403" s="8">
        <f t="shared" si="465"/>
        <v>0</v>
      </c>
      <c r="AU403" s="13">
        <f>IF(OR(UPPER(TRIM(AC403))="AB", AC403=901, AC403="901"), 0, IF(ISNUMBER(MATCH(UPPER(TRIM(AC403)), {"A+","A","B+","B","C","D","P"}, 0)), 2, 0))</f>
        <v>0</v>
      </c>
      <c r="AV403" s="13">
        <f t="shared" si="466"/>
        <v>11</v>
      </c>
      <c r="AW403">
        <f t="shared" si="467"/>
        <v>11</v>
      </c>
      <c r="AX403" s="1">
        <f t="shared" si="468"/>
        <v>22</v>
      </c>
      <c r="AY403" s="13">
        <f t="shared" si="472"/>
        <v>211</v>
      </c>
    </row>
    <row r="404" spans="1:51">
      <c r="A404" s="7">
        <v>5084774</v>
      </c>
      <c r="B404" s="7"/>
      <c r="C404" s="33" t="s">
        <v>98</v>
      </c>
      <c r="D404" s="1" t="s">
        <v>47</v>
      </c>
      <c r="E404" s="3">
        <v>1</v>
      </c>
      <c r="F404" s="1" t="s">
        <v>48</v>
      </c>
      <c r="G404" s="1">
        <v>1461412</v>
      </c>
      <c r="H404" s="2" t="s">
        <v>56</v>
      </c>
      <c r="I404" s="5" t="s">
        <v>50</v>
      </c>
      <c r="J404" s="1">
        <v>12</v>
      </c>
      <c r="K404" s="13" t="str">
        <f t="shared" si="469"/>
        <v>P</v>
      </c>
      <c r="L404" s="1">
        <v>12</v>
      </c>
      <c r="M404" s="13" t="str">
        <f t="shared" si="470"/>
        <v>P</v>
      </c>
      <c r="AB404" s="7" t="str">
        <f t="shared" si="461"/>
        <v>24</v>
      </c>
      <c r="AC404" s="13" t="str">
        <f t="shared" si="462"/>
        <v>D</v>
      </c>
      <c r="AD404" s="13" t="str">
        <f t="shared" si="473"/>
        <v>211</v>
      </c>
      <c r="AE404" s="1">
        <v>550</v>
      </c>
      <c r="AF404" s="15">
        <f t="shared" si="471"/>
        <v>38.36363636363636</v>
      </c>
      <c r="AG404" s="13" t="str">
        <f t="shared" si="471"/>
        <v>ATKT</v>
      </c>
      <c r="AI404" s="1">
        <v>22</v>
      </c>
      <c r="AJ404" s="15">
        <f t="shared" si="474"/>
        <v>10</v>
      </c>
      <c r="AK404" s="16">
        <f t="shared" si="474"/>
        <v>54</v>
      </c>
      <c r="AL404" s="7">
        <f t="shared" si="474"/>
        <v>0</v>
      </c>
      <c r="AR404" s="7" t="str">
        <f t="shared" si="463"/>
        <v>F</v>
      </c>
      <c r="AS404" s="8">
        <f t="shared" si="464"/>
        <v>4</v>
      </c>
      <c r="AT404" s="8">
        <f t="shared" si="465"/>
        <v>8</v>
      </c>
      <c r="AU404" s="13">
        <f>IF(OR(UPPER(TRIM(AC404))="AB", AC404=901, AC404="901"), 0, IF(ISNUMBER(MATCH(UPPER(TRIM(AC404)), {"A+","A","B+","B","C","D","P"}, 0)), 2, 0))</f>
        <v>2</v>
      </c>
      <c r="AV404" s="13">
        <f t="shared" si="466"/>
        <v>24</v>
      </c>
      <c r="AW404">
        <f t="shared" si="467"/>
        <v>24</v>
      </c>
      <c r="AX404" s="1">
        <f t="shared" si="468"/>
        <v>48</v>
      </c>
      <c r="AY404" s="13">
        <f t="shared" si="472"/>
        <v>211</v>
      </c>
    </row>
    <row r="405" spans="1:51">
      <c r="A405" s="7">
        <v>5084774</v>
      </c>
      <c r="B405" s="7"/>
      <c r="C405" s="33" t="s">
        <v>98</v>
      </c>
      <c r="D405" s="1" t="s">
        <v>47</v>
      </c>
      <c r="E405" s="3">
        <v>1</v>
      </c>
      <c r="F405" s="1" t="s">
        <v>48</v>
      </c>
      <c r="G405" s="1">
        <v>2511515</v>
      </c>
      <c r="H405" s="2" t="s">
        <v>57</v>
      </c>
      <c r="I405" s="5" t="s">
        <v>50</v>
      </c>
      <c r="J405" s="1">
        <v>12</v>
      </c>
      <c r="K405" s="13" t="str">
        <f t="shared" si="469"/>
        <v>P</v>
      </c>
      <c r="L405" s="1">
        <v>5</v>
      </c>
      <c r="M405" s="13" t="str">
        <f t="shared" si="470"/>
        <v>F</v>
      </c>
      <c r="AB405" s="7" t="str">
        <f t="shared" si="461"/>
        <v>17</v>
      </c>
      <c r="AC405" s="13" t="str">
        <f t="shared" si="462"/>
        <v>F</v>
      </c>
      <c r="AD405" s="13" t="str">
        <f t="shared" si="473"/>
        <v>211</v>
      </c>
      <c r="AE405" s="1">
        <v>550</v>
      </c>
      <c r="AF405" s="15">
        <f t="shared" si="471"/>
        <v>38.36363636363636</v>
      </c>
      <c r="AG405" s="13" t="str">
        <f t="shared" si="471"/>
        <v>ATKT</v>
      </c>
      <c r="AI405" s="1">
        <v>22</v>
      </c>
      <c r="AJ405" s="15">
        <f t="shared" si="474"/>
        <v>10</v>
      </c>
      <c r="AK405" s="16">
        <f t="shared" si="474"/>
        <v>54</v>
      </c>
      <c r="AL405" s="7">
        <f t="shared" si="474"/>
        <v>0</v>
      </c>
      <c r="AR405" s="7" t="str">
        <f t="shared" si="463"/>
        <v>F</v>
      </c>
      <c r="AS405" s="8">
        <f t="shared" si="464"/>
        <v>0</v>
      </c>
      <c r="AT405" s="8">
        <f t="shared" si="465"/>
        <v>0</v>
      </c>
      <c r="AU405" s="13">
        <f>IF(OR(UPPER(TRIM(AC405))="AB", AC405=901, AC405="901"), 0, IF(ISNUMBER(MATCH(UPPER(TRIM(AC405)), {"A+","A","B+","B","C","D","P"}, 0)), 2, 0))</f>
        <v>0</v>
      </c>
      <c r="AV405" s="13">
        <f t="shared" si="466"/>
        <v>17</v>
      </c>
      <c r="AW405">
        <f t="shared" si="467"/>
        <v>17</v>
      </c>
      <c r="AX405" s="1">
        <f t="shared" si="468"/>
        <v>34</v>
      </c>
      <c r="AY405" s="13">
        <f t="shared" si="472"/>
        <v>211</v>
      </c>
    </row>
    <row r="406" spans="1:51" ht="28.8">
      <c r="A406" s="7">
        <v>5084774</v>
      </c>
      <c r="B406" s="7"/>
      <c r="C406" s="33" t="s">
        <v>98</v>
      </c>
      <c r="D406" s="1" t="s">
        <v>47</v>
      </c>
      <c r="E406" s="3">
        <v>1</v>
      </c>
      <c r="F406" s="1" t="s">
        <v>48</v>
      </c>
      <c r="G406" s="1">
        <v>2521615</v>
      </c>
      <c r="H406" s="30" t="s">
        <v>96</v>
      </c>
      <c r="I406" s="5" t="s">
        <v>50</v>
      </c>
      <c r="J406" s="1">
        <v>12</v>
      </c>
      <c r="K406" s="13" t="str">
        <f t="shared" si="469"/>
        <v>P</v>
      </c>
      <c r="L406" s="1">
        <v>12</v>
      </c>
      <c r="M406" s="13" t="str">
        <f t="shared" si="470"/>
        <v>P</v>
      </c>
      <c r="AB406" s="7" t="str">
        <f t="shared" si="461"/>
        <v>24</v>
      </c>
      <c r="AC406" s="13" t="str">
        <f t="shared" si="462"/>
        <v>D</v>
      </c>
      <c r="AD406" s="13" t="str">
        <f t="shared" si="473"/>
        <v>211</v>
      </c>
      <c r="AE406" s="1">
        <v>550</v>
      </c>
      <c r="AF406" s="15">
        <f t="shared" si="471"/>
        <v>38.36363636363636</v>
      </c>
      <c r="AG406" s="13" t="str">
        <f t="shared" si="471"/>
        <v>ATKT</v>
      </c>
      <c r="AI406" s="1">
        <v>22</v>
      </c>
      <c r="AJ406" s="15">
        <f t="shared" si="474"/>
        <v>10</v>
      </c>
      <c r="AK406" s="16">
        <f t="shared" si="474"/>
        <v>54</v>
      </c>
      <c r="AL406" s="7">
        <f t="shared" si="474"/>
        <v>0</v>
      </c>
      <c r="AR406" s="7" t="str">
        <f t="shared" si="463"/>
        <v>F</v>
      </c>
      <c r="AS406" s="8">
        <f t="shared" si="464"/>
        <v>4</v>
      </c>
      <c r="AT406" s="8">
        <f t="shared" si="465"/>
        <v>8</v>
      </c>
      <c r="AU406" s="13">
        <f>IF(OR(UPPER(TRIM(AC406))="AB", AC406=901, AC406="901"), 0, IF(ISNUMBER(MATCH(UPPER(TRIM(AC406)), {"A+","A","B+","B","C","D","P"}, 0)), 2, 0))</f>
        <v>2</v>
      </c>
      <c r="AV406" s="13">
        <f t="shared" si="466"/>
        <v>24</v>
      </c>
      <c r="AW406">
        <f t="shared" si="467"/>
        <v>24</v>
      </c>
      <c r="AX406" s="1">
        <f t="shared" si="468"/>
        <v>48</v>
      </c>
      <c r="AY406" s="13">
        <f t="shared" si="472"/>
        <v>211</v>
      </c>
    </row>
    <row r="407" spans="1:51">
      <c r="A407" s="7">
        <v>5084774</v>
      </c>
      <c r="B407" s="7"/>
      <c r="C407" s="33" t="s">
        <v>98</v>
      </c>
      <c r="D407" s="1" t="s">
        <v>47</v>
      </c>
      <c r="E407" s="3">
        <v>1</v>
      </c>
      <c r="F407" s="1" t="s">
        <v>48</v>
      </c>
      <c r="G407" s="1">
        <v>2531511</v>
      </c>
      <c r="H407" s="2" t="s">
        <v>59</v>
      </c>
      <c r="I407" s="5" t="s">
        <v>50</v>
      </c>
      <c r="J407" s="1">
        <v>10</v>
      </c>
      <c r="K407" s="13" t="str">
        <f t="shared" si="469"/>
        <v>P</v>
      </c>
      <c r="L407" s="1">
        <v>0</v>
      </c>
      <c r="M407" s="13" t="str">
        <f t="shared" si="470"/>
        <v>F</v>
      </c>
      <c r="AB407" s="7" t="str">
        <f t="shared" si="461"/>
        <v>10</v>
      </c>
      <c r="AC407" s="13" t="str">
        <f t="shared" si="462"/>
        <v>F</v>
      </c>
      <c r="AD407" s="13" t="str">
        <f t="shared" si="473"/>
        <v>211</v>
      </c>
      <c r="AE407" s="1">
        <v>550</v>
      </c>
      <c r="AF407" s="15">
        <f t="shared" si="471"/>
        <v>38.36363636363636</v>
      </c>
      <c r="AG407" s="13" t="str">
        <f t="shared" si="471"/>
        <v>ATKT</v>
      </c>
      <c r="AI407" s="1">
        <v>22</v>
      </c>
      <c r="AJ407" s="15">
        <f t="shared" si="474"/>
        <v>10</v>
      </c>
      <c r="AK407" s="16">
        <f t="shared" si="474"/>
        <v>54</v>
      </c>
      <c r="AL407" s="7">
        <f t="shared" si="474"/>
        <v>0</v>
      </c>
      <c r="AR407" s="7" t="str">
        <f t="shared" si="463"/>
        <v>F</v>
      </c>
      <c r="AS407" s="8">
        <f t="shared" si="464"/>
        <v>0</v>
      </c>
      <c r="AT407" s="8">
        <f t="shared" si="465"/>
        <v>0</v>
      </c>
      <c r="AU407" s="13">
        <f>IF(OR(UPPER(TRIM(AC407))="AB", AC407=901, AC407="901"), 0, IF(ISNUMBER(MATCH(UPPER(TRIM(AC407)), {"A+","A","B+","B","C","D","P"}, 0)), 2, 0))</f>
        <v>0</v>
      </c>
      <c r="AV407" s="13">
        <f t="shared" si="466"/>
        <v>10</v>
      </c>
      <c r="AW407">
        <f t="shared" si="467"/>
        <v>10</v>
      </c>
      <c r="AX407" s="1">
        <f t="shared" si="468"/>
        <v>20</v>
      </c>
      <c r="AY407" s="13">
        <f t="shared" si="472"/>
        <v>211</v>
      </c>
    </row>
    <row r="408" spans="1:51">
      <c r="A408" s="7">
        <v>5084774</v>
      </c>
      <c r="B408" s="7"/>
      <c r="C408" s="33" t="s">
        <v>98</v>
      </c>
      <c r="D408" s="1" t="s">
        <v>47</v>
      </c>
      <c r="E408" s="3">
        <v>1</v>
      </c>
      <c r="F408" s="1" t="s">
        <v>48</v>
      </c>
      <c r="G408" s="1">
        <v>2541515</v>
      </c>
      <c r="H408" s="2" t="s">
        <v>60</v>
      </c>
      <c r="I408" s="5" t="s">
        <v>50</v>
      </c>
      <c r="J408" s="1">
        <v>12</v>
      </c>
      <c r="K408" s="13" t="str">
        <f t="shared" si="469"/>
        <v>P</v>
      </c>
      <c r="L408" s="6">
        <v>0</v>
      </c>
      <c r="M408" s="13" t="str">
        <f t="shared" si="470"/>
        <v>F</v>
      </c>
      <c r="AB408" s="7" t="str">
        <f t="shared" si="461"/>
        <v>12</v>
      </c>
      <c r="AC408" s="13" t="str">
        <f t="shared" si="462"/>
        <v>F</v>
      </c>
      <c r="AD408" s="13" t="str">
        <f t="shared" si="473"/>
        <v>211</v>
      </c>
      <c r="AE408" s="1">
        <v>550</v>
      </c>
      <c r="AF408" s="15">
        <f t="shared" si="471"/>
        <v>38.36363636363636</v>
      </c>
      <c r="AG408" s="13" t="str">
        <f t="shared" si="471"/>
        <v>ATKT</v>
      </c>
      <c r="AI408" s="1">
        <v>22</v>
      </c>
      <c r="AJ408" s="15">
        <f t="shared" si="474"/>
        <v>10</v>
      </c>
      <c r="AK408" s="16">
        <f t="shared" si="474"/>
        <v>54</v>
      </c>
      <c r="AL408" s="7">
        <f t="shared" si="474"/>
        <v>0</v>
      </c>
      <c r="AR408" s="7" t="str">
        <f t="shared" si="463"/>
        <v>F</v>
      </c>
      <c r="AS408" s="8">
        <f t="shared" si="464"/>
        <v>0</v>
      </c>
      <c r="AT408" s="8">
        <f t="shared" si="465"/>
        <v>0</v>
      </c>
      <c r="AU408" s="13">
        <f>IF(OR(UPPER(TRIM(AC408))="AB", AC408=901, AC408="901"), 0, IF(ISNUMBER(MATCH(UPPER(TRIM(AC408)), {"A+","A","B+","B","C","D","P"}, 0)), 2, 0))</f>
        <v>0</v>
      </c>
      <c r="AV408" s="13">
        <f t="shared" si="466"/>
        <v>12</v>
      </c>
      <c r="AW408">
        <f t="shared" si="467"/>
        <v>12</v>
      </c>
      <c r="AX408" s="1">
        <f t="shared" si="468"/>
        <v>24</v>
      </c>
      <c r="AY408" s="13">
        <f t="shared" si="472"/>
        <v>211</v>
      </c>
    </row>
    <row r="410" spans="1:51">
      <c r="A410" s="7">
        <v>5066380</v>
      </c>
      <c r="B410" s="7"/>
      <c r="C410" s="33" t="s">
        <v>99</v>
      </c>
      <c r="D410" s="1" t="s">
        <v>47</v>
      </c>
      <c r="E410" s="3">
        <v>1</v>
      </c>
      <c r="F410" s="1" t="s">
        <v>48</v>
      </c>
      <c r="G410" s="1">
        <v>1011312</v>
      </c>
      <c r="H410" s="2" t="s">
        <v>49</v>
      </c>
      <c r="I410" s="5" t="s">
        <v>50</v>
      </c>
      <c r="J410" s="6">
        <v>15</v>
      </c>
      <c r="K410" s="13" t="str">
        <f>IF(OR(UPPER(TRIM(J410))="AB",J410=901,J410="901"),"F",IF(J410&gt;=8,"P","F"))</f>
        <v>P</v>
      </c>
      <c r="L410" s="1">
        <v>18</v>
      </c>
      <c r="M410" s="13" t="str">
        <f>IF(OR(UPPER(TRIM(L410))="AB",L410=901,L410="901"),"F",IF(L410&gt;=8,"P","F"))</f>
        <v>P</v>
      </c>
      <c r="N410" s="13"/>
      <c r="O410" s="13"/>
      <c r="P410" s="13"/>
      <c r="Q410" s="13"/>
      <c r="R410" s="13"/>
      <c r="S410" s="13"/>
      <c r="T410" s="13"/>
      <c r="U410" s="13"/>
      <c r="V410" s="13"/>
      <c r="W410" s="13"/>
      <c r="X410" s="13"/>
      <c r="Y410" s="13"/>
      <c r="Z410" s="13"/>
      <c r="AB410" s="7" t="str">
        <f t="shared" ref="AB410:AB420" si="475">AV410 &amp; IF(AA410&lt;&gt;"", " @ " &amp; AA410, "")</f>
        <v>33</v>
      </c>
      <c r="AC410" s="13" t="str">
        <f t="shared" ref="AC410:AC420" si="476">IF(AX410&gt;=90,"O",
IF(AX410&gt;=80,"A+",
IF(AX410&gt;=70,"A",
IF(AX410&gt;=60,"B+",
IF(AX410&gt;=55,"B",
IF(AX410&gt;=50,"C",
IF(AX410&gt;=40,"D","F")))))))</f>
        <v>B+</v>
      </c>
      <c r="AD410" s="13" t="str">
        <f>SUM(AV410:AV420) &amp; IF(SUM(AA410:AA420)&gt;0, " @ " &amp; SUM(AA410:AA420), "")</f>
        <v>249</v>
      </c>
      <c r="AE410" s="1">
        <v>550</v>
      </c>
      <c r="AF410" s="15">
        <f>AY410/AE410*100</f>
        <v>45.272727272727273</v>
      </c>
      <c r="AG410" s="13" t="str" cm="1">
        <f t="array" ref="AG410">IF(
  SUMPRODUCT(--(IFERROR(VALUE(J410:J420),9999)&lt;8))
  + SUMPRODUCT(--(IFERROR(VALUE(L410:L420),9999)&lt;12))
  + COUNTIF(J410:J420,"AB") + COUNTIF(L410:L420,"AB")
  + COUNTIF(J410:J420,901) + COUNTIF(L410:L420,901) &gt; 0,
  "ATKT",
  "PASS"
)</f>
        <v>ATKT</v>
      </c>
      <c r="AI410" s="1">
        <v>22</v>
      </c>
      <c r="AJ410" s="15">
        <f>SUM(AU410:AU420)</f>
        <v>18</v>
      </c>
      <c r="AK410" s="16">
        <f>SUM(AT410:AT420)</f>
        <v>94</v>
      </c>
      <c r="AL410" s="7">
        <f>IF(UPPER(TRIM(AG410))="ATKT",0,ROUND( (SUM(AT410:AT420) /22), 2))</f>
        <v>0</v>
      </c>
      <c r="AR410" s="7" t="str">
        <f t="shared" ref="AR410:AR420" si="477">IF(AL410&gt;=9,"O", IF(AL410&gt;=8,"A+", IF(AL410&gt;=7,"A", IF(AL410&gt;=6,"B+", IF(AL410&gt;=5.5,"B", IF(AL410&gt;=5,"C", IF(AL410&gt;=4,"D","F")))))))</f>
        <v>F</v>
      </c>
      <c r="AS410" s="8">
        <f t="shared" ref="AS410:AS420" si="478">IF(AX410&gt;=90,10,
IF(AX410&gt;=80,9,
IF(AX410&gt;=70,8,
IF(AX410&gt;=60,7,
IF(AX410&gt;=55,6,
IF(AX410&gt;=50,5,
IF(AX410&gt;=40,4,0)))))))</f>
        <v>7</v>
      </c>
      <c r="AT410" s="8">
        <f t="shared" ref="AT410:AT420" si="479">AS410*I410</f>
        <v>14</v>
      </c>
      <c r="AU410" s="13">
        <f>IF(OR(UPPER(TRIM(AC410))="AB", AC410=901, AC410="901"), 0, IF(ISNUMBER(MATCH(UPPER(TRIM(AC410)), {"A+","A","B+","B","C","D","P"}, 0)), 2, 0))</f>
        <v>2</v>
      </c>
      <c r="AV410" s="13">
        <f t="shared" ref="AV410:AV420" si="480">SUM(
IF(OR(UPPER(TRIM(J410))="AB",J410=901,J410="901"),0,IFERROR(VALUE(J410),0)),
IF(OR(UPPER(TRIM(L410))="AB",L410=901,L410="901"),0,IFERROR(VALUE(L410),0)),
IF(OR(UPPER(TRIM(N410))="AB",N410=901,N410="901"),0,IFERROR(VALUE(N410),0))
)</f>
        <v>33</v>
      </c>
      <c r="AW410">
        <f t="shared" ref="AW410:AW420" si="481">AA410+AV410</f>
        <v>33</v>
      </c>
      <c r="AX410" s="1">
        <f t="shared" ref="AX410:AX420" si="482">(AW410 / 50) * 100</f>
        <v>66</v>
      </c>
      <c r="AY410" s="13">
        <f>SUM(AW410:AW420)</f>
        <v>249</v>
      </c>
    </row>
    <row r="411" spans="1:51">
      <c r="A411" s="7">
        <v>5066380</v>
      </c>
      <c r="B411" s="7"/>
      <c r="C411" s="33" t="s">
        <v>99</v>
      </c>
      <c r="D411" s="1" t="s">
        <v>47</v>
      </c>
      <c r="E411" s="3">
        <v>1</v>
      </c>
      <c r="F411" s="1" t="s">
        <v>48</v>
      </c>
      <c r="G411" s="1">
        <v>1171312</v>
      </c>
      <c r="H411" s="2" t="s">
        <v>51</v>
      </c>
      <c r="I411" s="5" t="s">
        <v>50</v>
      </c>
      <c r="J411" s="1">
        <v>12</v>
      </c>
      <c r="K411" s="13" t="str">
        <f t="shared" ref="K411:K420" si="483">IF(OR(UPPER(TRIM(J411))="AB",J411=901,J411="901"),"F",IF(J411&gt;=8,"P","F"))</f>
        <v>P</v>
      </c>
      <c r="L411" s="1">
        <v>15</v>
      </c>
      <c r="M411" s="13" t="str">
        <f t="shared" ref="M411:M420" si="484">IF(OR(UPPER(TRIM(L411))="AB",L411=901,L411="901"),"F",IF(L411&gt;=8,"P","F"))</f>
        <v>P</v>
      </c>
      <c r="AB411" s="7" t="str">
        <f t="shared" si="475"/>
        <v>27</v>
      </c>
      <c r="AC411" s="13" t="str">
        <f t="shared" si="476"/>
        <v>C</v>
      </c>
      <c r="AD411" s="13" t="str">
        <f>AD410</f>
        <v>249</v>
      </c>
      <c r="AE411" s="1">
        <v>550</v>
      </c>
      <c r="AF411" s="15">
        <f t="shared" ref="AF411:AG420" si="485">AF410</f>
        <v>45.272727272727273</v>
      </c>
      <c r="AG411" s="13" t="str">
        <f t="shared" si="485"/>
        <v>ATKT</v>
      </c>
      <c r="AI411" s="1">
        <v>22</v>
      </c>
      <c r="AJ411" s="15">
        <f>AJ410</f>
        <v>18</v>
      </c>
      <c r="AK411" s="16">
        <f>AK410</f>
        <v>94</v>
      </c>
      <c r="AL411" s="7">
        <f>AL410</f>
        <v>0</v>
      </c>
      <c r="AR411" s="7" t="str">
        <f t="shared" si="477"/>
        <v>F</v>
      </c>
      <c r="AS411" s="8">
        <f t="shared" si="478"/>
        <v>5</v>
      </c>
      <c r="AT411" s="8">
        <f t="shared" si="479"/>
        <v>10</v>
      </c>
      <c r="AU411" s="13">
        <f>IF(OR(UPPER(TRIM(AC411))="AB", AC411=901, AC411="901"), 0, IF(ISNUMBER(MATCH(UPPER(TRIM(AC411)), {"A+","A","B+","B","C","D","P"}, 0)), 2, 0))</f>
        <v>2</v>
      </c>
      <c r="AV411" s="13">
        <f t="shared" si="480"/>
        <v>27</v>
      </c>
      <c r="AW411">
        <f t="shared" si="481"/>
        <v>27</v>
      </c>
      <c r="AX411" s="1">
        <f t="shared" si="482"/>
        <v>54</v>
      </c>
      <c r="AY411" s="13">
        <f t="shared" ref="AY411:AY420" si="486">AY410</f>
        <v>249</v>
      </c>
    </row>
    <row r="412" spans="1:51">
      <c r="A412" s="7">
        <v>5066380</v>
      </c>
      <c r="B412" s="7"/>
      <c r="C412" s="33" t="s">
        <v>99</v>
      </c>
      <c r="D412" s="1" t="s">
        <v>47</v>
      </c>
      <c r="E412" s="3">
        <v>1</v>
      </c>
      <c r="F412" s="1" t="s">
        <v>48</v>
      </c>
      <c r="G412" s="1">
        <v>1461111</v>
      </c>
      <c r="H412" s="2" t="s">
        <v>52</v>
      </c>
      <c r="I412" s="5" t="s">
        <v>50</v>
      </c>
      <c r="J412" s="1">
        <v>13</v>
      </c>
      <c r="K412" s="13" t="str">
        <f t="shared" si="483"/>
        <v>P</v>
      </c>
      <c r="L412" s="1">
        <v>12</v>
      </c>
      <c r="M412" s="13" t="str">
        <f t="shared" si="484"/>
        <v>P</v>
      </c>
      <c r="AB412" s="7" t="str">
        <f t="shared" si="475"/>
        <v>25</v>
      </c>
      <c r="AC412" s="13" t="str">
        <f t="shared" si="476"/>
        <v>C</v>
      </c>
      <c r="AD412" s="13" t="str">
        <f t="shared" ref="AD412:AD420" si="487">AD411</f>
        <v>249</v>
      </c>
      <c r="AE412" s="1">
        <v>550</v>
      </c>
      <c r="AF412" s="15">
        <f t="shared" si="485"/>
        <v>45.272727272727273</v>
      </c>
      <c r="AG412" s="13" t="str">
        <f t="shared" si="485"/>
        <v>ATKT</v>
      </c>
      <c r="AI412" s="1">
        <v>22</v>
      </c>
      <c r="AJ412" s="15">
        <f t="shared" ref="AJ412:AL420" si="488">AJ411</f>
        <v>18</v>
      </c>
      <c r="AK412" s="16">
        <f t="shared" si="488"/>
        <v>94</v>
      </c>
      <c r="AL412" s="7">
        <f t="shared" si="488"/>
        <v>0</v>
      </c>
      <c r="AR412" s="7" t="str">
        <f t="shared" si="477"/>
        <v>F</v>
      </c>
      <c r="AS412" s="8">
        <f t="shared" si="478"/>
        <v>5</v>
      </c>
      <c r="AT412" s="8">
        <f t="shared" si="479"/>
        <v>10</v>
      </c>
      <c r="AU412" s="13">
        <f>IF(OR(UPPER(TRIM(AC412))="AB", AC412=901, AC412="901"), 0, IF(ISNUMBER(MATCH(UPPER(TRIM(AC412)), {"A+","A","B+","B","C","D","P"}, 0)), 2, 0))</f>
        <v>2</v>
      </c>
      <c r="AV412" s="13">
        <f t="shared" si="480"/>
        <v>25</v>
      </c>
      <c r="AW412">
        <f t="shared" si="481"/>
        <v>25</v>
      </c>
      <c r="AX412" s="1">
        <f t="shared" si="482"/>
        <v>50</v>
      </c>
      <c r="AY412" s="13">
        <f t="shared" si="486"/>
        <v>249</v>
      </c>
    </row>
    <row r="413" spans="1:51">
      <c r="A413" s="7">
        <v>5066380</v>
      </c>
      <c r="B413" s="7"/>
      <c r="C413" s="33" t="s">
        <v>99</v>
      </c>
      <c r="D413" s="1" t="s">
        <v>47</v>
      </c>
      <c r="E413" s="3">
        <v>1</v>
      </c>
      <c r="F413" s="1" t="s">
        <v>48</v>
      </c>
      <c r="G413" s="1">
        <v>1461112</v>
      </c>
      <c r="H413" s="2" t="s">
        <v>53</v>
      </c>
      <c r="I413" s="5" t="s">
        <v>50</v>
      </c>
      <c r="J413" s="1">
        <v>13</v>
      </c>
      <c r="K413" s="13" t="str">
        <f t="shared" si="483"/>
        <v>P</v>
      </c>
      <c r="L413" s="1">
        <v>12</v>
      </c>
      <c r="M413" s="13" t="str">
        <f t="shared" si="484"/>
        <v>P</v>
      </c>
      <c r="AB413" s="7" t="str">
        <f t="shared" si="475"/>
        <v>25</v>
      </c>
      <c r="AC413" s="13" t="str">
        <f t="shared" si="476"/>
        <v>C</v>
      </c>
      <c r="AD413" s="13" t="str">
        <f t="shared" si="487"/>
        <v>249</v>
      </c>
      <c r="AE413" s="1">
        <v>550</v>
      </c>
      <c r="AF413" s="15">
        <f t="shared" si="485"/>
        <v>45.272727272727273</v>
      </c>
      <c r="AG413" s="13" t="str">
        <f t="shared" si="485"/>
        <v>ATKT</v>
      </c>
      <c r="AI413" s="1">
        <v>22</v>
      </c>
      <c r="AJ413" s="15">
        <f t="shared" si="488"/>
        <v>18</v>
      </c>
      <c r="AK413" s="16">
        <f t="shared" si="488"/>
        <v>94</v>
      </c>
      <c r="AL413" s="7">
        <f t="shared" si="488"/>
        <v>0</v>
      </c>
      <c r="AR413" s="7" t="str">
        <f t="shared" si="477"/>
        <v>F</v>
      </c>
      <c r="AS413" s="8">
        <f t="shared" si="478"/>
        <v>5</v>
      </c>
      <c r="AT413" s="8">
        <f t="shared" si="479"/>
        <v>10</v>
      </c>
      <c r="AU413" s="13">
        <f>IF(OR(UPPER(TRIM(AC413))="AB", AC413=901, AC413="901"), 0, IF(ISNUMBER(MATCH(UPPER(TRIM(AC413)), {"A+","A","B+","B","C","D","P"}, 0)), 2, 0))</f>
        <v>2</v>
      </c>
      <c r="AV413" s="13">
        <f t="shared" si="480"/>
        <v>25</v>
      </c>
      <c r="AW413">
        <f t="shared" si="481"/>
        <v>25</v>
      </c>
      <c r="AX413" s="1">
        <f t="shared" si="482"/>
        <v>50</v>
      </c>
      <c r="AY413" s="13">
        <f t="shared" si="486"/>
        <v>249</v>
      </c>
    </row>
    <row r="414" spans="1:51">
      <c r="A414" s="7">
        <v>5066380</v>
      </c>
      <c r="B414" s="7"/>
      <c r="C414" s="33" t="s">
        <v>99</v>
      </c>
      <c r="D414" s="1" t="s">
        <v>47</v>
      </c>
      <c r="E414" s="3">
        <v>1</v>
      </c>
      <c r="F414" s="1" t="s">
        <v>48</v>
      </c>
      <c r="G414" s="1">
        <v>1461113</v>
      </c>
      <c r="H414" s="2" t="s">
        <v>54</v>
      </c>
      <c r="I414" s="5" t="s">
        <v>50</v>
      </c>
      <c r="J414" s="1">
        <v>10</v>
      </c>
      <c r="K414" s="13" t="str">
        <f t="shared" si="483"/>
        <v>P</v>
      </c>
      <c r="L414" s="1">
        <v>12</v>
      </c>
      <c r="M414" s="13" t="str">
        <f t="shared" si="484"/>
        <v>P</v>
      </c>
      <c r="AB414" s="7" t="str">
        <f t="shared" si="475"/>
        <v>22</v>
      </c>
      <c r="AC414" s="13" t="str">
        <f t="shared" si="476"/>
        <v>D</v>
      </c>
      <c r="AD414" s="13" t="str">
        <f t="shared" si="487"/>
        <v>249</v>
      </c>
      <c r="AE414" s="1">
        <v>550</v>
      </c>
      <c r="AF414" s="15">
        <f t="shared" si="485"/>
        <v>45.272727272727273</v>
      </c>
      <c r="AG414" s="13" t="str">
        <f t="shared" si="485"/>
        <v>ATKT</v>
      </c>
      <c r="AI414" s="1">
        <v>22</v>
      </c>
      <c r="AJ414" s="15">
        <f t="shared" si="488"/>
        <v>18</v>
      </c>
      <c r="AK414" s="16">
        <f t="shared" si="488"/>
        <v>94</v>
      </c>
      <c r="AL414" s="7">
        <f t="shared" si="488"/>
        <v>0</v>
      </c>
      <c r="AR414" s="7" t="str">
        <f t="shared" si="477"/>
        <v>F</v>
      </c>
      <c r="AS414" s="8">
        <f t="shared" si="478"/>
        <v>4</v>
      </c>
      <c r="AT414" s="8">
        <f t="shared" si="479"/>
        <v>8</v>
      </c>
      <c r="AU414" s="13">
        <f>IF(OR(UPPER(TRIM(AC414))="AB", AC414=901, AC414="901"), 0, IF(ISNUMBER(MATCH(UPPER(TRIM(AC414)), {"A+","A","B+","B","C","D","P"}, 0)), 2, 0))</f>
        <v>2</v>
      </c>
      <c r="AV414" s="13">
        <f t="shared" si="480"/>
        <v>22</v>
      </c>
      <c r="AW414">
        <f t="shared" si="481"/>
        <v>22</v>
      </c>
      <c r="AX414" s="1">
        <f t="shared" si="482"/>
        <v>44</v>
      </c>
      <c r="AY414" s="13">
        <f t="shared" si="486"/>
        <v>249</v>
      </c>
    </row>
    <row r="415" spans="1:51">
      <c r="A415" s="7">
        <v>5066380</v>
      </c>
      <c r="B415" s="7"/>
      <c r="C415" s="33" t="s">
        <v>99</v>
      </c>
      <c r="D415" s="1" t="s">
        <v>47</v>
      </c>
      <c r="E415" s="3">
        <v>1</v>
      </c>
      <c r="F415" s="1" t="s">
        <v>48</v>
      </c>
      <c r="G415" s="1">
        <v>1461411</v>
      </c>
      <c r="H415" s="2" t="s">
        <v>55</v>
      </c>
      <c r="I415" s="5" t="s">
        <v>50</v>
      </c>
      <c r="J415" s="1">
        <v>15</v>
      </c>
      <c r="K415" s="13" t="str">
        <f t="shared" si="483"/>
        <v>P</v>
      </c>
      <c r="L415" s="1">
        <v>13</v>
      </c>
      <c r="M415" s="13" t="str">
        <f t="shared" si="484"/>
        <v>P</v>
      </c>
      <c r="AB415" s="7" t="str">
        <f t="shared" si="475"/>
        <v>28</v>
      </c>
      <c r="AC415" s="13" t="str">
        <f t="shared" si="476"/>
        <v>B</v>
      </c>
      <c r="AD415" s="13" t="str">
        <f t="shared" si="487"/>
        <v>249</v>
      </c>
      <c r="AE415" s="1">
        <v>550</v>
      </c>
      <c r="AF415" s="15">
        <f t="shared" si="485"/>
        <v>45.272727272727273</v>
      </c>
      <c r="AG415" s="13" t="str">
        <f t="shared" si="485"/>
        <v>ATKT</v>
      </c>
      <c r="AI415" s="1">
        <v>22</v>
      </c>
      <c r="AJ415" s="15">
        <f t="shared" si="488"/>
        <v>18</v>
      </c>
      <c r="AK415" s="16">
        <f t="shared" si="488"/>
        <v>94</v>
      </c>
      <c r="AL415" s="7">
        <f t="shared" si="488"/>
        <v>0</v>
      </c>
      <c r="AR415" s="7" t="str">
        <f t="shared" si="477"/>
        <v>F</v>
      </c>
      <c r="AS415" s="8">
        <f t="shared" si="478"/>
        <v>6</v>
      </c>
      <c r="AT415" s="8">
        <f t="shared" si="479"/>
        <v>12</v>
      </c>
      <c r="AU415" s="13">
        <f>IF(OR(UPPER(TRIM(AC415))="AB", AC415=901, AC415="901"), 0, IF(ISNUMBER(MATCH(UPPER(TRIM(AC415)), {"A+","A","B+","B","C","D","P"}, 0)), 2, 0))</f>
        <v>2</v>
      </c>
      <c r="AV415" s="13">
        <f t="shared" si="480"/>
        <v>28</v>
      </c>
      <c r="AW415">
        <f t="shared" si="481"/>
        <v>28</v>
      </c>
      <c r="AX415" s="1">
        <f t="shared" si="482"/>
        <v>56.000000000000007</v>
      </c>
      <c r="AY415" s="13">
        <f t="shared" si="486"/>
        <v>249</v>
      </c>
    </row>
    <row r="416" spans="1:51">
      <c r="A416" s="7">
        <v>5066380</v>
      </c>
      <c r="B416" s="7"/>
      <c r="C416" s="33" t="s">
        <v>99</v>
      </c>
      <c r="D416" s="1" t="s">
        <v>47</v>
      </c>
      <c r="E416" s="3">
        <v>1</v>
      </c>
      <c r="F416" s="1" t="s">
        <v>48</v>
      </c>
      <c r="G416" s="1">
        <v>1461412</v>
      </c>
      <c r="H416" s="2" t="s">
        <v>56</v>
      </c>
      <c r="I416" s="5" t="s">
        <v>50</v>
      </c>
      <c r="J416" s="1">
        <v>13</v>
      </c>
      <c r="K416" s="13" t="str">
        <f t="shared" si="483"/>
        <v>P</v>
      </c>
      <c r="L416" s="1">
        <v>12</v>
      </c>
      <c r="M416" s="13" t="str">
        <f t="shared" si="484"/>
        <v>P</v>
      </c>
      <c r="AB416" s="7" t="str">
        <f t="shared" si="475"/>
        <v>25</v>
      </c>
      <c r="AC416" s="13" t="str">
        <f t="shared" si="476"/>
        <v>C</v>
      </c>
      <c r="AD416" s="13" t="str">
        <f t="shared" si="487"/>
        <v>249</v>
      </c>
      <c r="AE416" s="1">
        <v>550</v>
      </c>
      <c r="AF416" s="15">
        <f t="shared" si="485"/>
        <v>45.272727272727273</v>
      </c>
      <c r="AG416" s="13" t="str">
        <f t="shared" si="485"/>
        <v>ATKT</v>
      </c>
      <c r="AI416" s="1">
        <v>22</v>
      </c>
      <c r="AJ416" s="15">
        <f t="shared" si="488"/>
        <v>18</v>
      </c>
      <c r="AK416" s="16">
        <f t="shared" si="488"/>
        <v>94</v>
      </c>
      <c r="AL416" s="7">
        <f t="shared" si="488"/>
        <v>0</v>
      </c>
      <c r="AR416" s="7" t="str">
        <f t="shared" si="477"/>
        <v>F</v>
      </c>
      <c r="AS416" s="8">
        <f t="shared" si="478"/>
        <v>5</v>
      </c>
      <c r="AT416" s="8">
        <f t="shared" si="479"/>
        <v>10</v>
      </c>
      <c r="AU416" s="13">
        <f>IF(OR(UPPER(TRIM(AC416))="AB", AC416=901, AC416="901"), 0, IF(ISNUMBER(MATCH(UPPER(TRIM(AC416)), {"A+","A","B+","B","C","D","P"}, 0)), 2, 0))</f>
        <v>2</v>
      </c>
      <c r="AV416" s="13">
        <f t="shared" si="480"/>
        <v>25</v>
      </c>
      <c r="AW416">
        <f t="shared" si="481"/>
        <v>25</v>
      </c>
      <c r="AX416" s="1">
        <f t="shared" si="482"/>
        <v>50</v>
      </c>
      <c r="AY416" s="13">
        <f t="shared" si="486"/>
        <v>249</v>
      </c>
    </row>
    <row r="417" spans="1:51">
      <c r="A417" s="7">
        <v>5066380</v>
      </c>
      <c r="B417" s="7"/>
      <c r="C417" s="33" t="s">
        <v>99</v>
      </c>
      <c r="D417" s="1" t="s">
        <v>47</v>
      </c>
      <c r="E417" s="3">
        <v>1</v>
      </c>
      <c r="F417" s="1" t="s">
        <v>48</v>
      </c>
      <c r="G417" s="1">
        <v>2511515</v>
      </c>
      <c r="H417" s="2" t="s">
        <v>57</v>
      </c>
      <c r="I417" s="5" t="s">
        <v>50</v>
      </c>
      <c r="J417" s="1">
        <v>13</v>
      </c>
      <c r="K417" s="13" t="str">
        <f t="shared" si="483"/>
        <v>P</v>
      </c>
      <c r="L417" s="1">
        <v>12</v>
      </c>
      <c r="M417" s="13" t="str">
        <f t="shared" si="484"/>
        <v>P</v>
      </c>
      <c r="AB417" s="7" t="str">
        <f t="shared" si="475"/>
        <v>25</v>
      </c>
      <c r="AC417" s="13" t="str">
        <f t="shared" si="476"/>
        <v>C</v>
      </c>
      <c r="AD417" s="13" t="str">
        <f t="shared" si="487"/>
        <v>249</v>
      </c>
      <c r="AE417" s="1">
        <v>550</v>
      </c>
      <c r="AF417" s="15">
        <f t="shared" si="485"/>
        <v>45.272727272727273</v>
      </c>
      <c r="AG417" s="13" t="str">
        <f t="shared" si="485"/>
        <v>ATKT</v>
      </c>
      <c r="AI417" s="1">
        <v>22</v>
      </c>
      <c r="AJ417" s="15">
        <f t="shared" si="488"/>
        <v>18</v>
      </c>
      <c r="AK417" s="16">
        <f t="shared" si="488"/>
        <v>94</v>
      </c>
      <c r="AL417" s="7">
        <f t="shared" si="488"/>
        <v>0</v>
      </c>
      <c r="AR417" s="7" t="str">
        <f t="shared" si="477"/>
        <v>F</v>
      </c>
      <c r="AS417" s="8">
        <f t="shared" si="478"/>
        <v>5</v>
      </c>
      <c r="AT417" s="8">
        <f t="shared" si="479"/>
        <v>10</v>
      </c>
      <c r="AU417" s="13">
        <f>IF(OR(UPPER(TRIM(AC417))="AB", AC417=901, AC417="901"), 0, IF(ISNUMBER(MATCH(UPPER(TRIM(AC417)), {"A+","A","B+","B","C","D","P"}, 0)), 2, 0))</f>
        <v>2</v>
      </c>
      <c r="AV417" s="13">
        <f t="shared" si="480"/>
        <v>25</v>
      </c>
      <c r="AW417">
        <f t="shared" si="481"/>
        <v>25</v>
      </c>
      <c r="AX417" s="1">
        <f t="shared" si="482"/>
        <v>50</v>
      </c>
      <c r="AY417" s="13">
        <f t="shared" si="486"/>
        <v>249</v>
      </c>
    </row>
    <row r="418" spans="1:51" ht="28.8">
      <c r="A418" s="7">
        <v>5066380</v>
      </c>
      <c r="B418" s="7"/>
      <c r="C418" s="33" t="s">
        <v>99</v>
      </c>
      <c r="D418" s="1" t="s">
        <v>47</v>
      </c>
      <c r="E418" s="3">
        <v>1</v>
      </c>
      <c r="F418" s="1" t="s">
        <v>48</v>
      </c>
      <c r="G418" s="1">
        <v>2521615</v>
      </c>
      <c r="H418" s="30" t="s">
        <v>96</v>
      </c>
      <c r="I418" s="5" t="s">
        <v>50</v>
      </c>
      <c r="J418" s="1">
        <v>901</v>
      </c>
      <c r="K418" s="13" t="str">
        <f t="shared" si="483"/>
        <v>F</v>
      </c>
      <c r="L418" s="1">
        <v>901</v>
      </c>
      <c r="M418" s="13" t="str">
        <f t="shared" si="484"/>
        <v>F</v>
      </c>
      <c r="AB418" s="7" t="str">
        <f t="shared" si="475"/>
        <v>0</v>
      </c>
      <c r="AC418" s="13" t="str">
        <f t="shared" si="476"/>
        <v>F</v>
      </c>
      <c r="AD418" s="13" t="str">
        <f t="shared" si="487"/>
        <v>249</v>
      </c>
      <c r="AE418" s="1">
        <v>550</v>
      </c>
      <c r="AF418" s="15">
        <f t="shared" si="485"/>
        <v>45.272727272727273</v>
      </c>
      <c r="AG418" s="13" t="str">
        <f t="shared" si="485"/>
        <v>ATKT</v>
      </c>
      <c r="AI418" s="1">
        <v>22</v>
      </c>
      <c r="AJ418" s="15">
        <f t="shared" si="488"/>
        <v>18</v>
      </c>
      <c r="AK418" s="16">
        <f t="shared" si="488"/>
        <v>94</v>
      </c>
      <c r="AL418" s="7">
        <f t="shared" si="488"/>
        <v>0</v>
      </c>
      <c r="AR418" s="7" t="str">
        <f t="shared" si="477"/>
        <v>F</v>
      </c>
      <c r="AS418" s="8">
        <f t="shared" si="478"/>
        <v>0</v>
      </c>
      <c r="AT418" s="8">
        <f t="shared" si="479"/>
        <v>0</v>
      </c>
      <c r="AU418" s="13">
        <f>IF(OR(UPPER(TRIM(AC418))="AB", AC418=901, AC418="901"), 0, IF(ISNUMBER(MATCH(UPPER(TRIM(AC418)), {"A+","A","B+","B","C","D","P"}, 0)), 2, 0))</f>
        <v>0</v>
      </c>
      <c r="AV418" s="13">
        <f t="shared" si="480"/>
        <v>0</v>
      </c>
      <c r="AW418">
        <f t="shared" si="481"/>
        <v>0</v>
      </c>
      <c r="AX418" s="1">
        <f t="shared" si="482"/>
        <v>0</v>
      </c>
      <c r="AY418" s="13">
        <f t="shared" si="486"/>
        <v>249</v>
      </c>
    </row>
    <row r="419" spans="1:51">
      <c r="A419" s="7">
        <v>5066380</v>
      </c>
      <c r="B419" s="7"/>
      <c r="C419" s="33" t="s">
        <v>99</v>
      </c>
      <c r="D419" s="1" t="s">
        <v>47</v>
      </c>
      <c r="E419" s="3">
        <v>1</v>
      </c>
      <c r="F419" s="1" t="s">
        <v>48</v>
      </c>
      <c r="G419" s="1">
        <v>2531511</v>
      </c>
      <c r="H419" s="2" t="s">
        <v>59</v>
      </c>
      <c r="I419" s="5" t="s">
        <v>50</v>
      </c>
      <c r="J419" s="1">
        <v>12</v>
      </c>
      <c r="K419" s="13" t="str">
        <f t="shared" si="483"/>
        <v>P</v>
      </c>
      <c r="L419" s="1">
        <v>901</v>
      </c>
      <c r="M419" s="13" t="str">
        <f t="shared" si="484"/>
        <v>F</v>
      </c>
      <c r="AB419" s="7" t="str">
        <f t="shared" si="475"/>
        <v>12</v>
      </c>
      <c r="AC419" s="13" t="str">
        <f t="shared" si="476"/>
        <v>F</v>
      </c>
      <c r="AD419" s="13" t="str">
        <f t="shared" si="487"/>
        <v>249</v>
      </c>
      <c r="AE419" s="1">
        <v>550</v>
      </c>
      <c r="AF419" s="15">
        <f t="shared" si="485"/>
        <v>45.272727272727273</v>
      </c>
      <c r="AG419" s="13" t="str">
        <f t="shared" si="485"/>
        <v>ATKT</v>
      </c>
      <c r="AI419" s="1">
        <v>22</v>
      </c>
      <c r="AJ419" s="15">
        <f t="shared" si="488"/>
        <v>18</v>
      </c>
      <c r="AK419" s="16">
        <f t="shared" si="488"/>
        <v>94</v>
      </c>
      <c r="AL419" s="7">
        <f t="shared" si="488"/>
        <v>0</v>
      </c>
      <c r="AR419" s="7" t="str">
        <f t="shared" si="477"/>
        <v>F</v>
      </c>
      <c r="AS419" s="8">
        <f t="shared" si="478"/>
        <v>0</v>
      </c>
      <c r="AT419" s="8">
        <f t="shared" si="479"/>
        <v>0</v>
      </c>
      <c r="AU419" s="13">
        <f>IF(OR(UPPER(TRIM(AC419))="AB", AC419=901, AC419="901"), 0, IF(ISNUMBER(MATCH(UPPER(TRIM(AC419)), {"A+","A","B+","B","C","D","P"}, 0)), 2, 0))</f>
        <v>0</v>
      </c>
      <c r="AV419" s="13">
        <f t="shared" si="480"/>
        <v>12</v>
      </c>
      <c r="AW419">
        <f t="shared" si="481"/>
        <v>12</v>
      </c>
      <c r="AX419" s="1">
        <f t="shared" si="482"/>
        <v>24</v>
      </c>
      <c r="AY419" s="13">
        <f t="shared" si="486"/>
        <v>249</v>
      </c>
    </row>
    <row r="420" spans="1:51">
      <c r="A420" s="7">
        <v>5066380</v>
      </c>
      <c r="B420" s="7"/>
      <c r="C420" s="33" t="s">
        <v>99</v>
      </c>
      <c r="D420" s="1" t="s">
        <v>47</v>
      </c>
      <c r="E420" s="3">
        <v>1</v>
      </c>
      <c r="F420" s="1" t="s">
        <v>48</v>
      </c>
      <c r="G420" s="1">
        <v>2541515</v>
      </c>
      <c r="H420" s="2" t="s">
        <v>60</v>
      </c>
      <c r="I420" s="5" t="s">
        <v>50</v>
      </c>
      <c r="J420" s="1">
        <v>15</v>
      </c>
      <c r="K420" s="13" t="str">
        <f t="shared" si="483"/>
        <v>P</v>
      </c>
      <c r="L420" s="6">
        <v>12</v>
      </c>
      <c r="M420" s="13" t="str">
        <f t="shared" si="484"/>
        <v>P</v>
      </c>
      <c r="AB420" s="7" t="str">
        <f t="shared" si="475"/>
        <v>27</v>
      </c>
      <c r="AC420" s="13" t="str">
        <f t="shared" si="476"/>
        <v>C</v>
      </c>
      <c r="AD420" s="13" t="str">
        <f t="shared" si="487"/>
        <v>249</v>
      </c>
      <c r="AE420" s="1">
        <v>550</v>
      </c>
      <c r="AF420" s="15">
        <f t="shared" si="485"/>
        <v>45.272727272727273</v>
      </c>
      <c r="AG420" s="13" t="str">
        <f t="shared" si="485"/>
        <v>ATKT</v>
      </c>
      <c r="AI420" s="1">
        <v>22</v>
      </c>
      <c r="AJ420" s="15">
        <f t="shared" si="488"/>
        <v>18</v>
      </c>
      <c r="AK420" s="16">
        <f t="shared" si="488"/>
        <v>94</v>
      </c>
      <c r="AL420" s="7">
        <f t="shared" si="488"/>
        <v>0</v>
      </c>
      <c r="AR420" s="7" t="str">
        <f t="shared" si="477"/>
        <v>F</v>
      </c>
      <c r="AS420" s="8">
        <f t="shared" si="478"/>
        <v>5</v>
      </c>
      <c r="AT420" s="8">
        <f t="shared" si="479"/>
        <v>10</v>
      </c>
      <c r="AU420" s="13">
        <f>IF(OR(UPPER(TRIM(AC420))="AB", AC420=901, AC420="901"), 0, IF(ISNUMBER(MATCH(UPPER(TRIM(AC420)), {"A+","A","B+","B","C","D","P"}, 0)), 2, 0))</f>
        <v>2</v>
      </c>
      <c r="AV420" s="13">
        <f t="shared" si="480"/>
        <v>27</v>
      </c>
      <c r="AW420">
        <f t="shared" si="481"/>
        <v>27</v>
      </c>
      <c r="AX420" s="1">
        <f t="shared" si="482"/>
        <v>54</v>
      </c>
      <c r="AY420" s="13">
        <f t="shared" si="486"/>
        <v>249</v>
      </c>
    </row>
    <row r="422" spans="1:51">
      <c r="A422" s="7">
        <v>5076123</v>
      </c>
      <c r="B422" s="7"/>
      <c r="C422" s="33" t="s">
        <v>100</v>
      </c>
      <c r="D422" s="1" t="s">
        <v>47</v>
      </c>
      <c r="E422" s="3">
        <v>1</v>
      </c>
      <c r="F422" s="1" t="s">
        <v>48</v>
      </c>
      <c r="G422" s="1">
        <v>1011312</v>
      </c>
      <c r="H422" s="2" t="s">
        <v>49</v>
      </c>
      <c r="I422" s="5" t="s">
        <v>50</v>
      </c>
      <c r="J422" s="6">
        <v>14</v>
      </c>
      <c r="K422" s="13" t="str">
        <f>IF(OR(UPPER(TRIM(J422))="AB",J422=901,J422="901"),"F",IF(J422&gt;=8,"P","F"))</f>
        <v>P</v>
      </c>
      <c r="L422" s="1">
        <v>17</v>
      </c>
      <c r="M422" s="13" t="str">
        <f>IF(OR(UPPER(TRIM(L422))="AB",L422=901,L422="901"),"F",IF(L422&gt;=8,"P","F"))</f>
        <v>P</v>
      </c>
      <c r="N422" s="13"/>
      <c r="O422" s="13"/>
      <c r="P422" s="13"/>
      <c r="Q422" s="13"/>
      <c r="R422" s="13"/>
      <c r="S422" s="13"/>
      <c r="T422" s="13"/>
      <c r="U422" s="13"/>
      <c r="V422" s="13"/>
      <c r="W422" s="13"/>
      <c r="X422" s="13"/>
      <c r="Y422" s="13"/>
      <c r="Z422" s="13"/>
      <c r="AB422" s="7" t="str">
        <f t="shared" ref="AB422:AB432" si="489">AV422 &amp; IF(AA422&lt;&gt;"", " @ " &amp; AA422, "")</f>
        <v>31</v>
      </c>
      <c r="AC422" s="13" t="str">
        <f t="shared" ref="AC422:AC432" si="490">IF(AX422&gt;=90,"O",
IF(AX422&gt;=80,"A+",
IF(AX422&gt;=70,"A",
IF(AX422&gt;=60,"B+",
IF(AX422&gt;=55,"B",
IF(AX422&gt;=50,"C",
IF(AX422&gt;=40,"D","F")))))))</f>
        <v>B+</v>
      </c>
      <c r="AD422" s="13" t="str">
        <f>SUM(AV422:AV432) &amp; IF(SUM(AA422:AA432)&gt;0, " @ " &amp; SUM(AA422:AA432), "")</f>
        <v>264</v>
      </c>
      <c r="AE422" s="1">
        <v>550</v>
      </c>
      <c r="AF422" s="15">
        <f>AY422/AE422*100</f>
        <v>48</v>
      </c>
      <c r="AG422" s="13" t="str" cm="1">
        <f t="array" ref="AG422">IF(
  SUMPRODUCT(--(IFERROR(VALUE(J422:J432),9999)&lt;8))
  + SUMPRODUCT(--(IFERROR(VALUE(L422:L432),9999)&lt;12))
  + COUNTIF(J422:J432,"AB") + COUNTIF(L422:L432,"AB")
  + COUNTIF(J422:J432,901) + COUNTIF(L422:L432,901) &gt; 0,
  "ATKT",
  "PASS"
)</f>
        <v>ATKT</v>
      </c>
      <c r="AI422" s="1">
        <v>22</v>
      </c>
      <c r="AJ422" s="15">
        <f>SUM(AU422:AU432)</f>
        <v>20</v>
      </c>
      <c r="AK422" s="16">
        <f>SUM(AT422:AT432)</f>
        <v>96</v>
      </c>
      <c r="AL422" s="7">
        <f>IF(UPPER(TRIM(AG422))="ATKT",0,ROUND( (SUM(AT422:AT432) /22), 2))</f>
        <v>0</v>
      </c>
      <c r="AR422" s="7" t="str">
        <f t="shared" ref="AR422:AR432" si="491">IF(AL422&gt;=9,"O", IF(AL422&gt;=8,"A+", IF(AL422&gt;=7,"A", IF(AL422&gt;=6,"B+", IF(AL422&gt;=5.5,"B", IF(AL422&gt;=5,"C", IF(AL422&gt;=4,"D","F")))))))</f>
        <v>F</v>
      </c>
      <c r="AS422" s="8">
        <f t="shared" ref="AS422:AS432" si="492">IF(AX422&gt;=90,10,
IF(AX422&gt;=80,9,
IF(AX422&gt;=70,8,
IF(AX422&gt;=60,7,
IF(AX422&gt;=55,6,
IF(AX422&gt;=50,5,
IF(AX422&gt;=40,4,0)))))))</f>
        <v>7</v>
      </c>
      <c r="AT422" s="8">
        <f t="shared" ref="AT422:AT432" si="493">AS422*I422</f>
        <v>14</v>
      </c>
      <c r="AU422" s="13">
        <f>IF(OR(UPPER(TRIM(AC422))="AB", AC422=901, AC422="901"), 0, IF(ISNUMBER(MATCH(UPPER(TRIM(AC422)), {"A+","A","B+","B","C","D","P"}, 0)), 2, 0))</f>
        <v>2</v>
      </c>
      <c r="AV422" s="13">
        <f t="shared" ref="AV422:AV432" si="494">SUM(
IF(OR(UPPER(TRIM(J422))="AB",J422=901,J422="901"),0,IFERROR(VALUE(J422),0)),
IF(OR(UPPER(TRIM(L422))="AB",L422=901,L422="901"),0,IFERROR(VALUE(L422),0)),
IF(OR(UPPER(TRIM(N422))="AB",N422=901,N422="901"),0,IFERROR(VALUE(N422),0))
)</f>
        <v>31</v>
      </c>
      <c r="AW422">
        <f t="shared" ref="AW422:AW432" si="495">AA422+AV422</f>
        <v>31</v>
      </c>
      <c r="AX422" s="1">
        <f t="shared" ref="AX422:AX432" si="496">(AW422 / 50) * 100</f>
        <v>62</v>
      </c>
      <c r="AY422" s="13">
        <f>SUM(AW422:AW432)</f>
        <v>264</v>
      </c>
    </row>
    <row r="423" spans="1:51">
      <c r="A423" s="7">
        <v>5076123</v>
      </c>
      <c r="B423" s="7"/>
      <c r="C423" s="33" t="s">
        <v>100</v>
      </c>
      <c r="D423" s="1" t="s">
        <v>47</v>
      </c>
      <c r="E423" s="3">
        <v>1</v>
      </c>
      <c r="F423" s="1" t="s">
        <v>48</v>
      </c>
      <c r="G423" s="1">
        <v>1171312</v>
      </c>
      <c r="H423" s="2" t="s">
        <v>51</v>
      </c>
      <c r="I423" s="5" t="s">
        <v>50</v>
      </c>
      <c r="J423" s="1">
        <v>18</v>
      </c>
      <c r="K423" s="13" t="str">
        <f t="shared" ref="K423:K432" si="497">IF(OR(UPPER(TRIM(J423))="AB",J423=901,J423="901"),"F",IF(J423&gt;=8,"P","F"))</f>
        <v>P</v>
      </c>
      <c r="L423" s="1">
        <v>12</v>
      </c>
      <c r="M423" s="13" t="str">
        <f t="shared" ref="M423:M432" si="498">IF(OR(UPPER(TRIM(L423))="AB",L423=901,L423="901"),"F",IF(L423&gt;=8,"P","F"))</f>
        <v>P</v>
      </c>
      <c r="AB423" s="7" t="str">
        <f t="shared" si="489"/>
        <v>30</v>
      </c>
      <c r="AC423" s="13" t="str">
        <f t="shared" si="490"/>
        <v>B+</v>
      </c>
      <c r="AD423" s="13" t="str">
        <f>AD422</f>
        <v>264</v>
      </c>
      <c r="AE423" s="1">
        <v>550</v>
      </c>
      <c r="AF423" s="15">
        <f t="shared" ref="AF423:AG432" si="499">AF422</f>
        <v>48</v>
      </c>
      <c r="AG423" s="13" t="str">
        <f t="shared" si="499"/>
        <v>ATKT</v>
      </c>
      <c r="AI423" s="1">
        <v>22</v>
      </c>
      <c r="AJ423" s="15">
        <f>AJ422</f>
        <v>20</v>
      </c>
      <c r="AK423" s="16">
        <f>AK422</f>
        <v>96</v>
      </c>
      <c r="AL423" s="7">
        <f>AL422</f>
        <v>0</v>
      </c>
      <c r="AR423" s="7" t="str">
        <f t="shared" si="491"/>
        <v>F</v>
      </c>
      <c r="AS423" s="8">
        <f t="shared" si="492"/>
        <v>7</v>
      </c>
      <c r="AT423" s="8">
        <f t="shared" si="493"/>
        <v>14</v>
      </c>
      <c r="AU423" s="13">
        <f>IF(OR(UPPER(TRIM(AC423))="AB", AC423=901, AC423="901"), 0, IF(ISNUMBER(MATCH(UPPER(TRIM(AC423)), {"A+","A","B+","B","C","D","P"}, 0)), 2, 0))</f>
        <v>2</v>
      </c>
      <c r="AV423" s="13">
        <f t="shared" si="494"/>
        <v>30</v>
      </c>
      <c r="AW423">
        <f t="shared" si="495"/>
        <v>30</v>
      </c>
      <c r="AX423" s="1">
        <f t="shared" si="496"/>
        <v>60</v>
      </c>
      <c r="AY423" s="13">
        <f t="shared" ref="AY423:AY432" si="500">AY422</f>
        <v>264</v>
      </c>
    </row>
    <row r="424" spans="1:51">
      <c r="A424" s="7">
        <v>5076123</v>
      </c>
      <c r="B424" s="7"/>
      <c r="C424" s="33" t="s">
        <v>100</v>
      </c>
      <c r="D424" s="1" t="s">
        <v>47</v>
      </c>
      <c r="E424" s="3">
        <v>1</v>
      </c>
      <c r="F424" s="1" t="s">
        <v>48</v>
      </c>
      <c r="G424" s="1">
        <v>1461111</v>
      </c>
      <c r="H424" s="2" t="s">
        <v>52</v>
      </c>
      <c r="I424" s="5" t="s">
        <v>50</v>
      </c>
      <c r="J424" s="1">
        <v>12</v>
      </c>
      <c r="K424" s="13" t="str">
        <f t="shared" si="497"/>
        <v>P</v>
      </c>
      <c r="L424" s="1">
        <v>12</v>
      </c>
      <c r="M424" s="13" t="str">
        <f t="shared" si="498"/>
        <v>P</v>
      </c>
      <c r="AB424" s="7" t="str">
        <f t="shared" si="489"/>
        <v>24</v>
      </c>
      <c r="AC424" s="13" t="str">
        <f t="shared" si="490"/>
        <v>D</v>
      </c>
      <c r="AD424" s="13" t="str">
        <f t="shared" ref="AD424:AD432" si="501">AD423</f>
        <v>264</v>
      </c>
      <c r="AE424" s="1">
        <v>550</v>
      </c>
      <c r="AF424" s="15">
        <f t="shared" si="499"/>
        <v>48</v>
      </c>
      <c r="AG424" s="13" t="str">
        <f t="shared" si="499"/>
        <v>ATKT</v>
      </c>
      <c r="AI424" s="1">
        <v>22</v>
      </c>
      <c r="AJ424" s="15">
        <f t="shared" ref="AJ424:AL432" si="502">AJ423</f>
        <v>20</v>
      </c>
      <c r="AK424" s="16">
        <f t="shared" si="502"/>
        <v>96</v>
      </c>
      <c r="AL424" s="7">
        <f t="shared" si="502"/>
        <v>0</v>
      </c>
      <c r="AR424" s="7" t="str">
        <f t="shared" si="491"/>
        <v>F</v>
      </c>
      <c r="AS424" s="8">
        <f t="shared" si="492"/>
        <v>4</v>
      </c>
      <c r="AT424" s="8">
        <f t="shared" si="493"/>
        <v>8</v>
      </c>
      <c r="AU424" s="13">
        <f>IF(OR(UPPER(TRIM(AC424))="AB", AC424=901, AC424="901"), 0, IF(ISNUMBER(MATCH(UPPER(TRIM(AC424)), {"A+","A","B+","B","C","D","P"}, 0)), 2, 0))</f>
        <v>2</v>
      </c>
      <c r="AV424" s="13">
        <f t="shared" si="494"/>
        <v>24</v>
      </c>
      <c r="AW424">
        <f t="shared" si="495"/>
        <v>24</v>
      </c>
      <c r="AX424" s="1">
        <f t="shared" si="496"/>
        <v>48</v>
      </c>
      <c r="AY424" s="13">
        <f t="shared" si="500"/>
        <v>264</v>
      </c>
    </row>
    <row r="425" spans="1:51">
      <c r="A425" s="7">
        <v>5076123</v>
      </c>
      <c r="B425" s="7"/>
      <c r="C425" s="33" t="s">
        <v>100</v>
      </c>
      <c r="D425" s="1" t="s">
        <v>47</v>
      </c>
      <c r="E425" s="3">
        <v>1</v>
      </c>
      <c r="F425" s="1" t="s">
        <v>48</v>
      </c>
      <c r="G425" s="1">
        <v>1461112</v>
      </c>
      <c r="H425" s="2" t="s">
        <v>53</v>
      </c>
      <c r="I425" s="5" t="s">
        <v>50</v>
      </c>
      <c r="J425" s="1">
        <v>12</v>
      </c>
      <c r="K425" s="13" t="str">
        <f t="shared" si="497"/>
        <v>P</v>
      </c>
      <c r="L425" s="1">
        <v>12</v>
      </c>
      <c r="M425" s="13" t="str">
        <f t="shared" si="498"/>
        <v>P</v>
      </c>
      <c r="AB425" s="7" t="str">
        <f t="shared" si="489"/>
        <v>24</v>
      </c>
      <c r="AC425" s="13" t="str">
        <f t="shared" si="490"/>
        <v>D</v>
      </c>
      <c r="AD425" s="13" t="str">
        <f t="shared" si="501"/>
        <v>264</v>
      </c>
      <c r="AE425" s="1">
        <v>550</v>
      </c>
      <c r="AF425" s="15">
        <f t="shared" si="499"/>
        <v>48</v>
      </c>
      <c r="AG425" s="13" t="str">
        <f t="shared" si="499"/>
        <v>ATKT</v>
      </c>
      <c r="AI425" s="1">
        <v>22</v>
      </c>
      <c r="AJ425" s="15">
        <f t="shared" si="502"/>
        <v>20</v>
      </c>
      <c r="AK425" s="16">
        <f t="shared" si="502"/>
        <v>96</v>
      </c>
      <c r="AL425" s="7">
        <f t="shared" si="502"/>
        <v>0</v>
      </c>
      <c r="AR425" s="7" t="str">
        <f t="shared" si="491"/>
        <v>F</v>
      </c>
      <c r="AS425" s="8">
        <f t="shared" si="492"/>
        <v>4</v>
      </c>
      <c r="AT425" s="8">
        <f t="shared" si="493"/>
        <v>8</v>
      </c>
      <c r="AU425" s="13">
        <f>IF(OR(UPPER(TRIM(AC425))="AB", AC425=901, AC425="901"), 0, IF(ISNUMBER(MATCH(UPPER(TRIM(AC425)), {"A+","A","B+","B","C","D","P"}, 0)), 2, 0))</f>
        <v>2</v>
      </c>
      <c r="AV425" s="13">
        <f t="shared" si="494"/>
        <v>24</v>
      </c>
      <c r="AW425">
        <f t="shared" si="495"/>
        <v>24</v>
      </c>
      <c r="AX425" s="1">
        <f t="shared" si="496"/>
        <v>48</v>
      </c>
      <c r="AY425" s="13">
        <f t="shared" si="500"/>
        <v>264</v>
      </c>
    </row>
    <row r="426" spans="1:51">
      <c r="A426" s="7">
        <v>5076123</v>
      </c>
      <c r="B426" s="7"/>
      <c r="C426" s="33" t="s">
        <v>100</v>
      </c>
      <c r="D426" s="1" t="s">
        <v>47</v>
      </c>
      <c r="E426" s="3">
        <v>1</v>
      </c>
      <c r="F426" s="1" t="s">
        <v>48</v>
      </c>
      <c r="G426" s="1">
        <v>1461113</v>
      </c>
      <c r="H426" s="2" t="s">
        <v>54</v>
      </c>
      <c r="I426" s="5" t="s">
        <v>50</v>
      </c>
      <c r="J426" s="1">
        <v>10</v>
      </c>
      <c r="K426" s="13" t="str">
        <f t="shared" si="497"/>
        <v>P</v>
      </c>
      <c r="L426" s="1">
        <v>12</v>
      </c>
      <c r="M426" s="13" t="str">
        <f t="shared" si="498"/>
        <v>P</v>
      </c>
      <c r="AB426" s="7" t="str">
        <f t="shared" si="489"/>
        <v>22</v>
      </c>
      <c r="AC426" s="13" t="str">
        <f t="shared" si="490"/>
        <v>D</v>
      </c>
      <c r="AD426" s="13" t="str">
        <f t="shared" si="501"/>
        <v>264</v>
      </c>
      <c r="AE426" s="1">
        <v>550</v>
      </c>
      <c r="AF426" s="15">
        <f t="shared" si="499"/>
        <v>48</v>
      </c>
      <c r="AG426" s="13" t="str">
        <f t="shared" si="499"/>
        <v>ATKT</v>
      </c>
      <c r="AI426" s="1">
        <v>22</v>
      </c>
      <c r="AJ426" s="15">
        <f t="shared" si="502"/>
        <v>20</v>
      </c>
      <c r="AK426" s="16">
        <f t="shared" si="502"/>
        <v>96</v>
      </c>
      <c r="AL426" s="7">
        <f t="shared" si="502"/>
        <v>0</v>
      </c>
      <c r="AR426" s="7" t="str">
        <f t="shared" si="491"/>
        <v>F</v>
      </c>
      <c r="AS426" s="8">
        <f t="shared" si="492"/>
        <v>4</v>
      </c>
      <c r="AT426" s="8">
        <f t="shared" si="493"/>
        <v>8</v>
      </c>
      <c r="AU426" s="13">
        <f>IF(OR(UPPER(TRIM(AC426))="AB", AC426=901, AC426="901"), 0, IF(ISNUMBER(MATCH(UPPER(TRIM(AC426)), {"A+","A","B+","B","C","D","P"}, 0)), 2, 0))</f>
        <v>2</v>
      </c>
      <c r="AV426" s="13">
        <f t="shared" si="494"/>
        <v>22</v>
      </c>
      <c r="AW426">
        <f t="shared" si="495"/>
        <v>22</v>
      </c>
      <c r="AX426" s="1">
        <f t="shared" si="496"/>
        <v>44</v>
      </c>
      <c r="AY426" s="13">
        <f t="shared" si="500"/>
        <v>264</v>
      </c>
    </row>
    <row r="427" spans="1:51">
      <c r="A427" s="7">
        <v>5076123</v>
      </c>
      <c r="B427" s="7"/>
      <c r="C427" s="33" t="s">
        <v>100</v>
      </c>
      <c r="D427" s="1" t="s">
        <v>47</v>
      </c>
      <c r="E427" s="3">
        <v>1</v>
      </c>
      <c r="F427" s="1" t="s">
        <v>48</v>
      </c>
      <c r="G427" s="1">
        <v>1461411</v>
      </c>
      <c r="H427" s="2" t="s">
        <v>55</v>
      </c>
      <c r="I427" s="5" t="s">
        <v>50</v>
      </c>
      <c r="J427" s="1">
        <v>14</v>
      </c>
      <c r="K427" s="13" t="str">
        <f t="shared" si="497"/>
        <v>P</v>
      </c>
      <c r="L427" s="1">
        <v>14</v>
      </c>
      <c r="M427" s="13" t="str">
        <f t="shared" si="498"/>
        <v>P</v>
      </c>
      <c r="AB427" s="7" t="str">
        <f t="shared" si="489"/>
        <v>28</v>
      </c>
      <c r="AC427" s="13" t="str">
        <f t="shared" si="490"/>
        <v>B</v>
      </c>
      <c r="AD427" s="13" t="str">
        <f t="shared" si="501"/>
        <v>264</v>
      </c>
      <c r="AE427" s="1">
        <v>550</v>
      </c>
      <c r="AF427" s="15">
        <f t="shared" si="499"/>
        <v>48</v>
      </c>
      <c r="AG427" s="13" t="str">
        <f t="shared" si="499"/>
        <v>ATKT</v>
      </c>
      <c r="AI427" s="1">
        <v>22</v>
      </c>
      <c r="AJ427" s="15">
        <f t="shared" si="502"/>
        <v>20</v>
      </c>
      <c r="AK427" s="16">
        <f t="shared" si="502"/>
        <v>96</v>
      </c>
      <c r="AL427" s="7">
        <f t="shared" si="502"/>
        <v>0</v>
      </c>
      <c r="AR427" s="7" t="str">
        <f t="shared" si="491"/>
        <v>F</v>
      </c>
      <c r="AS427" s="8">
        <f t="shared" si="492"/>
        <v>6</v>
      </c>
      <c r="AT427" s="8">
        <f t="shared" si="493"/>
        <v>12</v>
      </c>
      <c r="AU427" s="13">
        <f>IF(OR(UPPER(TRIM(AC427))="AB", AC427=901, AC427="901"), 0, IF(ISNUMBER(MATCH(UPPER(TRIM(AC427)), {"A+","A","B+","B","C","D","P"}, 0)), 2, 0))</f>
        <v>2</v>
      </c>
      <c r="AV427" s="13">
        <f t="shared" si="494"/>
        <v>28</v>
      </c>
      <c r="AW427">
        <f t="shared" si="495"/>
        <v>28</v>
      </c>
      <c r="AX427" s="1">
        <f t="shared" si="496"/>
        <v>56.000000000000007</v>
      </c>
      <c r="AY427" s="13">
        <f t="shared" si="500"/>
        <v>264</v>
      </c>
    </row>
    <row r="428" spans="1:51">
      <c r="A428" s="7">
        <v>5076123</v>
      </c>
      <c r="B428" s="7"/>
      <c r="C428" s="33" t="s">
        <v>100</v>
      </c>
      <c r="D428" s="1" t="s">
        <v>47</v>
      </c>
      <c r="E428" s="3">
        <v>1</v>
      </c>
      <c r="F428" s="1" t="s">
        <v>48</v>
      </c>
      <c r="G428" s="1">
        <v>1461412</v>
      </c>
      <c r="H428" s="2" t="s">
        <v>56</v>
      </c>
      <c r="I428" s="5" t="s">
        <v>50</v>
      </c>
      <c r="J428" s="1">
        <v>12</v>
      </c>
      <c r="K428" s="13" t="str">
        <f t="shared" si="497"/>
        <v>P</v>
      </c>
      <c r="L428" s="1">
        <v>12</v>
      </c>
      <c r="M428" s="13" t="str">
        <f t="shared" si="498"/>
        <v>P</v>
      </c>
      <c r="AB428" s="7" t="str">
        <f t="shared" si="489"/>
        <v>24</v>
      </c>
      <c r="AC428" s="13" t="str">
        <f t="shared" si="490"/>
        <v>D</v>
      </c>
      <c r="AD428" s="13" t="str">
        <f t="shared" si="501"/>
        <v>264</v>
      </c>
      <c r="AE428" s="1">
        <v>550</v>
      </c>
      <c r="AF428" s="15">
        <f t="shared" si="499"/>
        <v>48</v>
      </c>
      <c r="AG428" s="13" t="str">
        <f t="shared" si="499"/>
        <v>ATKT</v>
      </c>
      <c r="AI428" s="1">
        <v>22</v>
      </c>
      <c r="AJ428" s="15">
        <f t="shared" si="502"/>
        <v>20</v>
      </c>
      <c r="AK428" s="16">
        <f t="shared" si="502"/>
        <v>96</v>
      </c>
      <c r="AL428" s="7">
        <f t="shared" si="502"/>
        <v>0</v>
      </c>
      <c r="AR428" s="7" t="str">
        <f t="shared" si="491"/>
        <v>F</v>
      </c>
      <c r="AS428" s="8">
        <f t="shared" si="492"/>
        <v>4</v>
      </c>
      <c r="AT428" s="8">
        <f t="shared" si="493"/>
        <v>8</v>
      </c>
      <c r="AU428" s="13">
        <f>IF(OR(UPPER(TRIM(AC428))="AB", AC428=901, AC428="901"), 0, IF(ISNUMBER(MATCH(UPPER(TRIM(AC428)), {"A+","A","B+","B","C","D","P"}, 0)), 2, 0))</f>
        <v>2</v>
      </c>
      <c r="AV428" s="13">
        <f t="shared" si="494"/>
        <v>24</v>
      </c>
      <c r="AW428">
        <f t="shared" si="495"/>
        <v>24</v>
      </c>
      <c r="AX428" s="1">
        <f t="shared" si="496"/>
        <v>48</v>
      </c>
      <c r="AY428" s="13">
        <f t="shared" si="500"/>
        <v>264</v>
      </c>
    </row>
    <row r="429" spans="1:51">
      <c r="A429" s="7">
        <v>5076123</v>
      </c>
      <c r="B429" s="7"/>
      <c r="C429" s="33" t="s">
        <v>100</v>
      </c>
      <c r="D429" s="1" t="s">
        <v>47</v>
      </c>
      <c r="E429" s="3">
        <v>1</v>
      </c>
      <c r="F429" s="1" t="s">
        <v>48</v>
      </c>
      <c r="G429" s="1">
        <v>2511515</v>
      </c>
      <c r="H429" s="2" t="s">
        <v>57</v>
      </c>
      <c r="I429" s="5" t="s">
        <v>50</v>
      </c>
      <c r="J429" s="1">
        <v>12</v>
      </c>
      <c r="K429" s="13" t="str">
        <f t="shared" si="497"/>
        <v>P</v>
      </c>
      <c r="L429" s="1">
        <v>12</v>
      </c>
      <c r="M429" s="13" t="str">
        <f t="shared" si="498"/>
        <v>P</v>
      </c>
      <c r="AB429" s="7" t="str">
        <f t="shared" si="489"/>
        <v>24</v>
      </c>
      <c r="AC429" s="13" t="str">
        <f t="shared" si="490"/>
        <v>D</v>
      </c>
      <c r="AD429" s="13" t="str">
        <f t="shared" si="501"/>
        <v>264</v>
      </c>
      <c r="AE429" s="1">
        <v>550</v>
      </c>
      <c r="AF429" s="15">
        <f t="shared" si="499"/>
        <v>48</v>
      </c>
      <c r="AG429" s="13" t="str">
        <f t="shared" si="499"/>
        <v>ATKT</v>
      </c>
      <c r="AI429" s="1">
        <v>22</v>
      </c>
      <c r="AJ429" s="15">
        <f t="shared" si="502"/>
        <v>20</v>
      </c>
      <c r="AK429" s="16">
        <f t="shared" si="502"/>
        <v>96</v>
      </c>
      <c r="AL429" s="7">
        <f t="shared" si="502"/>
        <v>0</v>
      </c>
      <c r="AR429" s="7" t="str">
        <f t="shared" si="491"/>
        <v>F</v>
      </c>
      <c r="AS429" s="8">
        <f t="shared" si="492"/>
        <v>4</v>
      </c>
      <c r="AT429" s="8">
        <f t="shared" si="493"/>
        <v>8</v>
      </c>
      <c r="AU429" s="13">
        <f>IF(OR(UPPER(TRIM(AC429))="AB", AC429=901, AC429="901"), 0, IF(ISNUMBER(MATCH(UPPER(TRIM(AC429)), {"A+","A","B+","B","C","D","P"}, 0)), 2, 0))</f>
        <v>2</v>
      </c>
      <c r="AV429" s="13">
        <f t="shared" si="494"/>
        <v>24</v>
      </c>
      <c r="AW429">
        <f t="shared" si="495"/>
        <v>24</v>
      </c>
      <c r="AX429" s="1">
        <f t="shared" si="496"/>
        <v>48</v>
      </c>
      <c r="AY429" s="13">
        <f t="shared" si="500"/>
        <v>264</v>
      </c>
    </row>
    <row r="430" spans="1:51" ht="28.8">
      <c r="A430" s="7">
        <v>5076123</v>
      </c>
      <c r="B430" s="7"/>
      <c r="C430" s="33" t="s">
        <v>100</v>
      </c>
      <c r="D430" s="1" t="s">
        <v>47</v>
      </c>
      <c r="E430" s="3">
        <v>1</v>
      </c>
      <c r="F430" s="1" t="s">
        <v>48</v>
      </c>
      <c r="G430" s="1">
        <v>2521615</v>
      </c>
      <c r="H430" s="30" t="s">
        <v>96</v>
      </c>
      <c r="I430" s="5" t="s">
        <v>50</v>
      </c>
      <c r="J430" s="1">
        <v>10</v>
      </c>
      <c r="K430" s="13" t="str">
        <f t="shared" si="497"/>
        <v>P</v>
      </c>
      <c r="L430" s="1">
        <v>12</v>
      </c>
      <c r="M430" s="13" t="str">
        <f t="shared" si="498"/>
        <v>P</v>
      </c>
      <c r="AB430" s="7" t="str">
        <f t="shared" si="489"/>
        <v>22</v>
      </c>
      <c r="AC430" s="13" t="str">
        <f t="shared" si="490"/>
        <v>D</v>
      </c>
      <c r="AD430" s="13" t="str">
        <f t="shared" si="501"/>
        <v>264</v>
      </c>
      <c r="AE430" s="1">
        <v>550</v>
      </c>
      <c r="AF430" s="15">
        <f t="shared" si="499"/>
        <v>48</v>
      </c>
      <c r="AG430" s="13" t="str">
        <f t="shared" si="499"/>
        <v>ATKT</v>
      </c>
      <c r="AI430" s="1">
        <v>22</v>
      </c>
      <c r="AJ430" s="15">
        <f t="shared" si="502"/>
        <v>20</v>
      </c>
      <c r="AK430" s="16">
        <f t="shared" si="502"/>
        <v>96</v>
      </c>
      <c r="AL430" s="7">
        <f t="shared" si="502"/>
        <v>0</v>
      </c>
      <c r="AR430" s="7" t="str">
        <f t="shared" si="491"/>
        <v>F</v>
      </c>
      <c r="AS430" s="8">
        <f t="shared" si="492"/>
        <v>4</v>
      </c>
      <c r="AT430" s="8">
        <f t="shared" si="493"/>
        <v>8</v>
      </c>
      <c r="AU430" s="13">
        <f>IF(OR(UPPER(TRIM(AC430))="AB", AC430=901, AC430="901"), 0, IF(ISNUMBER(MATCH(UPPER(TRIM(AC430)), {"A+","A","B+","B","C","D","P"}, 0)), 2, 0))</f>
        <v>2</v>
      </c>
      <c r="AV430" s="13">
        <f t="shared" si="494"/>
        <v>22</v>
      </c>
      <c r="AW430">
        <f t="shared" si="495"/>
        <v>22</v>
      </c>
      <c r="AX430" s="1">
        <f t="shared" si="496"/>
        <v>44</v>
      </c>
      <c r="AY430" s="13">
        <f t="shared" si="500"/>
        <v>264</v>
      </c>
    </row>
    <row r="431" spans="1:51">
      <c r="A431" s="7">
        <v>5076123</v>
      </c>
      <c r="B431" s="7"/>
      <c r="C431" s="33" t="s">
        <v>100</v>
      </c>
      <c r="D431" s="1" t="s">
        <v>47</v>
      </c>
      <c r="E431" s="3">
        <v>1</v>
      </c>
      <c r="F431" s="1" t="s">
        <v>48</v>
      </c>
      <c r="G431" s="1">
        <v>2531511</v>
      </c>
      <c r="H431" s="2" t="s">
        <v>59</v>
      </c>
      <c r="I431" s="5" t="s">
        <v>50</v>
      </c>
      <c r="J431" s="1">
        <v>8</v>
      </c>
      <c r="K431" s="13" t="str">
        <f t="shared" si="497"/>
        <v>P</v>
      </c>
      <c r="L431" s="1">
        <v>12</v>
      </c>
      <c r="M431" s="13" t="str">
        <f t="shared" si="498"/>
        <v>P</v>
      </c>
      <c r="AB431" s="7" t="str">
        <f t="shared" si="489"/>
        <v>20</v>
      </c>
      <c r="AC431" s="13" t="str">
        <f t="shared" si="490"/>
        <v>D</v>
      </c>
      <c r="AD431" s="13" t="str">
        <f t="shared" si="501"/>
        <v>264</v>
      </c>
      <c r="AE431" s="1">
        <v>550</v>
      </c>
      <c r="AF431" s="15">
        <f t="shared" si="499"/>
        <v>48</v>
      </c>
      <c r="AG431" s="13" t="str">
        <f t="shared" si="499"/>
        <v>ATKT</v>
      </c>
      <c r="AI431" s="1">
        <v>22</v>
      </c>
      <c r="AJ431" s="15">
        <f t="shared" si="502"/>
        <v>20</v>
      </c>
      <c r="AK431" s="16">
        <f t="shared" si="502"/>
        <v>96</v>
      </c>
      <c r="AL431" s="7">
        <f t="shared" si="502"/>
        <v>0</v>
      </c>
      <c r="AR431" s="7" t="str">
        <f t="shared" si="491"/>
        <v>F</v>
      </c>
      <c r="AS431" s="8">
        <f t="shared" si="492"/>
        <v>4</v>
      </c>
      <c r="AT431" s="8">
        <f t="shared" si="493"/>
        <v>8</v>
      </c>
      <c r="AU431" s="13">
        <f>IF(OR(UPPER(TRIM(AC431))="AB", AC431=901, AC431="901"), 0, IF(ISNUMBER(MATCH(UPPER(TRIM(AC431)), {"A+","A","B+","B","C","D","P"}, 0)), 2, 0))</f>
        <v>2</v>
      </c>
      <c r="AV431" s="13">
        <f t="shared" si="494"/>
        <v>20</v>
      </c>
      <c r="AW431">
        <f t="shared" si="495"/>
        <v>20</v>
      </c>
      <c r="AX431" s="1">
        <f t="shared" si="496"/>
        <v>40</v>
      </c>
      <c r="AY431" s="13">
        <f t="shared" si="500"/>
        <v>264</v>
      </c>
    </row>
    <row r="432" spans="1:51">
      <c r="A432" s="7">
        <v>5076123</v>
      </c>
      <c r="B432" s="7"/>
      <c r="C432" s="33" t="s">
        <v>100</v>
      </c>
      <c r="D432" s="1" t="s">
        <v>47</v>
      </c>
      <c r="E432" s="3">
        <v>1</v>
      </c>
      <c r="F432" s="1" t="s">
        <v>48</v>
      </c>
      <c r="G432" s="1">
        <v>2541515</v>
      </c>
      <c r="H432" s="2" t="s">
        <v>60</v>
      </c>
      <c r="I432" s="5" t="s">
        <v>50</v>
      </c>
      <c r="J432" s="1">
        <v>12</v>
      </c>
      <c r="K432" s="13" t="str">
        <f t="shared" si="497"/>
        <v>P</v>
      </c>
      <c r="L432" s="6">
        <v>3</v>
      </c>
      <c r="M432" s="13" t="str">
        <f t="shared" si="498"/>
        <v>F</v>
      </c>
      <c r="AB432" s="7" t="str">
        <f t="shared" si="489"/>
        <v>15</v>
      </c>
      <c r="AC432" s="13" t="str">
        <f t="shared" si="490"/>
        <v>F</v>
      </c>
      <c r="AD432" s="13" t="str">
        <f t="shared" si="501"/>
        <v>264</v>
      </c>
      <c r="AE432" s="1">
        <v>550</v>
      </c>
      <c r="AF432" s="15">
        <f t="shared" si="499"/>
        <v>48</v>
      </c>
      <c r="AG432" s="13" t="str">
        <f t="shared" si="499"/>
        <v>ATKT</v>
      </c>
      <c r="AI432" s="1">
        <v>22</v>
      </c>
      <c r="AJ432" s="15">
        <f t="shared" si="502"/>
        <v>20</v>
      </c>
      <c r="AK432" s="16">
        <f t="shared" si="502"/>
        <v>96</v>
      </c>
      <c r="AL432" s="7">
        <f t="shared" si="502"/>
        <v>0</v>
      </c>
      <c r="AR432" s="7" t="str">
        <f t="shared" si="491"/>
        <v>F</v>
      </c>
      <c r="AS432" s="8">
        <f t="shared" si="492"/>
        <v>0</v>
      </c>
      <c r="AT432" s="8">
        <f t="shared" si="493"/>
        <v>0</v>
      </c>
      <c r="AU432" s="13">
        <f>IF(OR(UPPER(TRIM(AC432))="AB", AC432=901, AC432="901"), 0, IF(ISNUMBER(MATCH(UPPER(TRIM(AC432)), {"A+","A","B+","B","C","D","P"}, 0)), 2, 0))</f>
        <v>0</v>
      </c>
      <c r="AV432" s="13">
        <f t="shared" si="494"/>
        <v>15</v>
      </c>
      <c r="AW432">
        <f t="shared" si="495"/>
        <v>15</v>
      </c>
      <c r="AX432" s="1">
        <f t="shared" si="496"/>
        <v>30</v>
      </c>
      <c r="AY432" s="13">
        <f t="shared" si="500"/>
        <v>264</v>
      </c>
    </row>
    <row r="434" spans="1:51">
      <c r="A434" s="7">
        <v>5241127</v>
      </c>
      <c r="B434" s="7"/>
      <c r="C434" s="33" t="s">
        <v>101</v>
      </c>
      <c r="D434" s="1" t="s">
        <v>47</v>
      </c>
      <c r="E434" s="3">
        <v>1</v>
      </c>
      <c r="F434" s="1" t="s">
        <v>48</v>
      </c>
      <c r="G434" s="1">
        <v>1011312</v>
      </c>
      <c r="H434" s="2" t="s">
        <v>49</v>
      </c>
      <c r="I434" s="5" t="s">
        <v>50</v>
      </c>
      <c r="J434" s="6">
        <v>11</v>
      </c>
      <c r="K434" s="13" t="str">
        <f>IF(OR(UPPER(TRIM(J434))="AB",J434=901,J434="901"),"F",IF(J434&gt;=8,"P","F"))</f>
        <v>P</v>
      </c>
      <c r="L434" s="1">
        <v>13</v>
      </c>
      <c r="M434" s="13" t="str">
        <f>IF(OR(UPPER(TRIM(L434))="AB",L434=901,L434="901"),"F",IF(L434&gt;=8,"P","F"))</f>
        <v>P</v>
      </c>
      <c r="N434" s="13"/>
      <c r="O434" s="13"/>
      <c r="P434" s="13"/>
      <c r="Q434" s="13"/>
      <c r="R434" s="13"/>
      <c r="S434" s="13"/>
      <c r="T434" s="13"/>
      <c r="U434" s="13"/>
      <c r="V434" s="13"/>
      <c r="W434" s="13"/>
      <c r="X434" s="13"/>
      <c r="Y434" s="13"/>
      <c r="Z434" s="13"/>
      <c r="AB434" s="7" t="str">
        <f t="shared" ref="AB434:AB444" si="503">AV434 &amp; IF(AA434&lt;&gt;"", " @ " &amp; AA434, "")</f>
        <v>24</v>
      </c>
      <c r="AC434" s="13" t="str">
        <f t="shared" ref="AC434:AC444" si="504">IF(AX434&gt;=90,"O",
IF(AX434&gt;=80,"A+",
IF(AX434&gt;=70,"A",
IF(AX434&gt;=60,"B+",
IF(AX434&gt;=55,"B",
IF(AX434&gt;=50,"C",
IF(AX434&gt;=40,"D","F")))))))</f>
        <v>D</v>
      </c>
      <c r="AD434" s="13" t="str">
        <f>SUM(AV434:AV444) &amp; IF(SUM(AA434:AA444)&gt;0, " @ " &amp; SUM(AA434:AA444), "")</f>
        <v>202</v>
      </c>
      <c r="AE434" s="1">
        <v>550</v>
      </c>
      <c r="AF434" s="15">
        <f>AY434/AE434*100</f>
        <v>36.727272727272727</v>
      </c>
      <c r="AG434" s="13" t="str" cm="1">
        <f t="array" ref="AG434">IF(
  SUMPRODUCT(--(IFERROR(VALUE(J434:J444),9999)&lt;8))
  + SUMPRODUCT(--(IFERROR(VALUE(L434:L444),9999)&lt;12))
  + COUNTIF(J434:J444,"AB") + COUNTIF(L434:L444,"AB")
  + COUNTIF(J434:J444,901) + COUNTIF(L434:L444,901) &gt; 0,
  "ATKT",
  "PASS"
)</f>
        <v>ATKT</v>
      </c>
      <c r="AI434" s="1">
        <v>22</v>
      </c>
      <c r="AJ434" s="15">
        <f>SUM(AU434:AU444)</f>
        <v>12</v>
      </c>
      <c r="AK434" s="16">
        <f>SUM(AT434:AT444)</f>
        <v>48</v>
      </c>
      <c r="AL434" s="7">
        <f>IF(UPPER(TRIM(AG434))="ATKT",0,ROUND( (SUM(AT434:AT444) /22), 2))</f>
        <v>0</v>
      </c>
      <c r="AR434" s="7" t="str">
        <f t="shared" ref="AR434:AR444" si="505">IF(AL434&gt;=9,"O", IF(AL434&gt;=8,"A+", IF(AL434&gt;=7,"A", IF(AL434&gt;=6,"B+", IF(AL434&gt;=5.5,"B", IF(AL434&gt;=5,"C", IF(AL434&gt;=4,"D","F")))))))</f>
        <v>F</v>
      </c>
      <c r="AS434" s="8">
        <f t="shared" ref="AS434:AS444" si="506">IF(AX434&gt;=90,10,
IF(AX434&gt;=80,9,
IF(AX434&gt;=70,8,
IF(AX434&gt;=60,7,
IF(AX434&gt;=55,6,
IF(AX434&gt;=50,5,
IF(AX434&gt;=40,4,0)))))))</f>
        <v>4</v>
      </c>
      <c r="AT434" s="8">
        <f t="shared" ref="AT434:AT444" si="507">AS434*I434</f>
        <v>8</v>
      </c>
      <c r="AU434" s="13">
        <f>IF(OR(UPPER(TRIM(AC434))="AB", AC434=901, AC434="901"), 0, IF(ISNUMBER(MATCH(UPPER(TRIM(AC434)), {"A+","A","B+","B","C","D","P"}, 0)), 2, 0))</f>
        <v>2</v>
      </c>
      <c r="AV434" s="13">
        <f t="shared" ref="AV434:AV444" si="508">SUM(
IF(OR(UPPER(TRIM(J434))="AB",J434=901,J434="901"),0,IFERROR(VALUE(J434),0)),
IF(OR(UPPER(TRIM(L434))="AB",L434=901,L434="901"),0,IFERROR(VALUE(L434),0)),
IF(OR(UPPER(TRIM(N434))="AB",N434=901,N434="901"),0,IFERROR(VALUE(N434),0))
)</f>
        <v>24</v>
      </c>
      <c r="AW434">
        <f t="shared" ref="AW434:AW444" si="509">AA434+AV434</f>
        <v>24</v>
      </c>
      <c r="AX434" s="1">
        <f t="shared" ref="AX434:AX444" si="510">(AW434 / 50) * 100</f>
        <v>48</v>
      </c>
      <c r="AY434" s="13">
        <f>SUM(AW434:AW444)</f>
        <v>202</v>
      </c>
    </row>
    <row r="435" spans="1:51">
      <c r="A435" s="7">
        <v>5241127</v>
      </c>
      <c r="B435" s="7"/>
      <c r="C435" s="33" t="s">
        <v>101</v>
      </c>
      <c r="D435" s="1" t="s">
        <v>47</v>
      </c>
      <c r="E435" s="3">
        <v>1</v>
      </c>
      <c r="F435" s="1" t="s">
        <v>48</v>
      </c>
      <c r="G435" s="1">
        <v>1171312</v>
      </c>
      <c r="H435" s="2" t="s">
        <v>51</v>
      </c>
      <c r="I435" s="5" t="s">
        <v>50</v>
      </c>
      <c r="J435" s="1">
        <v>12</v>
      </c>
      <c r="K435" s="13" t="str">
        <f t="shared" ref="K435:K444" si="511">IF(OR(UPPER(TRIM(J435))="AB",J435=901,J435="901"),"F",IF(J435&gt;=8,"P","F"))</f>
        <v>P</v>
      </c>
      <c r="L435" s="1">
        <v>2</v>
      </c>
      <c r="M435" s="13" t="str">
        <f t="shared" ref="M435:M444" si="512">IF(OR(UPPER(TRIM(L435))="AB",L435=901,L435="901"),"F",IF(L435&gt;=8,"P","F"))</f>
        <v>F</v>
      </c>
      <c r="AB435" s="7" t="str">
        <f t="shared" si="503"/>
        <v>14</v>
      </c>
      <c r="AC435" s="13" t="str">
        <f t="shared" si="504"/>
        <v>F</v>
      </c>
      <c r="AD435" s="13" t="str">
        <f>AD434</f>
        <v>202</v>
      </c>
      <c r="AE435" s="1">
        <v>550</v>
      </c>
      <c r="AF435" s="15">
        <f t="shared" ref="AF435:AG444" si="513">AF434</f>
        <v>36.727272727272727</v>
      </c>
      <c r="AG435" s="13" t="str">
        <f t="shared" si="513"/>
        <v>ATKT</v>
      </c>
      <c r="AI435" s="1">
        <v>22</v>
      </c>
      <c r="AJ435" s="15">
        <f>AJ434</f>
        <v>12</v>
      </c>
      <c r="AK435" s="16">
        <f>AK434</f>
        <v>48</v>
      </c>
      <c r="AL435" s="7">
        <f>AL434</f>
        <v>0</v>
      </c>
      <c r="AR435" s="7" t="str">
        <f t="shared" si="505"/>
        <v>F</v>
      </c>
      <c r="AS435" s="8">
        <f t="shared" si="506"/>
        <v>0</v>
      </c>
      <c r="AT435" s="8">
        <f t="shared" si="507"/>
        <v>0</v>
      </c>
      <c r="AU435" s="13">
        <f>IF(OR(UPPER(TRIM(AC435))="AB", AC435=901, AC435="901"), 0, IF(ISNUMBER(MATCH(UPPER(TRIM(AC435)), {"A+","A","B+","B","C","D","P"}, 0)), 2, 0))</f>
        <v>0</v>
      </c>
      <c r="AV435" s="13">
        <f t="shared" si="508"/>
        <v>14</v>
      </c>
      <c r="AW435">
        <f t="shared" si="509"/>
        <v>14</v>
      </c>
      <c r="AX435" s="1">
        <f t="shared" si="510"/>
        <v>28.000000000000004</v>
      </c>
      <c r="AY435" s="13">
        <f t="shared" ref="AY435:AY444" si="514">AY434</f>
        <v>202</v>
      </c>
    </row>
    <row r="436" spans="1:51">
      <c r="A436" s="7">
        <v>5241127</v>
      </c>
      <c r="B436" s="7"/>
      <c r="C436" s="33" t="s">
        <v>101</v>
      </c>
      <c r="D436" s="1" t="s">
        <v>47</v>
      </c>
      <c r="E436" s="3">
        <v>1</v>
      </c>
      <c r="F436" s="1" t="s">
        <v>48</v>
      </c>
      <c r="G436" s="1">
        <v>1461111</v>
      </c>
      <c r="H436" s="2" t="s">
        <v>52</v>
      </c>
      <c r="I436" s="5" t="s">
        <v>50</v>
      </c>
      <c r="J436" s="1">
        <v>9</v>
      </c>
      <c r="K436" s="13" t="str">
        <f t="shared" si="511"/>
        <v>P</v>
      </c>
      <c r="L436" s="1">
        <v>5</v>
      </c>
      <c r="M436" s="13" t="str">
        <f t="shared" si="512"/>
        <v>F</v>
      </c>
      <c r="AB436" s="7" t="str">
        <f t="shared" si="503"/>
        <v>14</v>
      </c>
      <c r="AC436" s="13" t="str">
        <f t="shared" si="504"/>
        <v>F</v>
      </c>
      <c r="AD436" s="13" t="str">
        <f t="shared" ref="AD436:AD444" si="515">AD435</f>
        <v>202</v>
      </c>
      <c r="AE436" s="1">
        <v>550</v>
      </c>
      <c r="AF436" s="15">
        <f t="shared" si="513"/>
        <v>36.727272727272727</v>
      </c>
      <c r="AG436" s="13" t="str">
        <f t="shared" si="513"/>
        <v>ATKT</v>
      </c>
      <c r="AI436" s="1">
        <v>22</v>
      </c>
      <c r="AJ436" s="15">
        <f t="shared" ref="AJ436:AL444" si="516">AJ435</f>
        <v>12</v>
      </c>
      <c r="AK436" s="16">
        <f t="shared" si="516"/>
        <v>48</v>
      </c>
      <c r="AL436" s="7">
        <f t="shared" si="516"/>
        <v>0</v>
      </c>
      <c r="AR436" s="7" t="str">
        <f t="shared" si="505"/>
        <v>F</v>
      </c>
      <c r="AS436" s="8">
        <f t="shared" si="506"/>
        <v>0</v>
      </c>
      <c r="AT436" s="8">
        <f t="shared" si="507"/>
        <v>0</v>
      </c>
      <c r="AU436" s="13">
        <f>IF(OR(UPPER(TRIM(AC436))="AB", AC436=901, AC436="901"), 0, IF(ISNUMBER(MATCH(UPPER(TRIM(AC436)), {"A+","A","B+","B","C","D","P"}, 0)), 2, 0))</f>
        <v>0</v>
      </c>
      <c r="AV436" s="13">
        <f t="shared" si="508"/>
        <v>14</v>
      </c>
      <c r="AW436">
        <f t="shared" si="509"/>
        <v>14</v>
      </c>
      <c r="AX436" s="1">
        <f t="shared" si="510"/>
        <v>28.000000000000004</v>
      </c>
      <c r="AY436" s="13">
        <f t="shared" si="514"/>
        <v>202</v>
      </c>
    </row>
    <row r="437" spans="1:51">
      <c r="A437" s="7">
        <v>5241127</v>
      </c>
      <c r="B437" s="7"/>
      <c r="C437" s="33" t="s">
        <v>101</v>
      </c>
      <c r="D437" s="1" t="s">
        <v>47</v>
      </c>
      <c r="E437" s="3">
        <v>1</v>
      </c>
      <c r="F437" s="1" t="s">
        <v>48</v>
      </c>
      <c r="G437" s="1">
        <v>1461112</v>
      </c>
      <c r="H437" s="2" t="s">
        <v>53</v>
      </c>
      <c r="I437" s="5" t="s">
        <v>50</v>
      </c>
      <c r="J437" s="1">
        <v>9</v>
      </c>
      <c r="K437" s="13" t="str">
        <f t="shared" si="511"/>
        <v>P</v>
      </c>
      <c r="L437" s="1">
        <v>12</v>
      </c>
      <c r="M437" s="13" t="str">
        <f t="shared" si="512"/>
        <v>P</v>
      </c>
      <c r="AB437" s="7" t="str">
        <f t="shared" si="503"/>
        <v>21</v>
      </c>
      <c r="AC437" s="13" t="str">
        <f t="shared" si="504"/>
        <v>D</v>
      </c>
      <c r="AD437" s="13" t="str">
        <f t="shared" si="515"/>
        <v>202</v>
      </c>
      <c r="AE437" s="1">
        <v>550</v>
      </c>
      <c r="AF437" s="15">
        <f t="shared" si="513"/>
        <v>36.727272727272727</v>
      </c>
      <c r="AG437" s="13" t="str">
        <f t="shared" si="513"/>
        <v>ATKT</v>
      </c>
      <c r="AI437" s="1">
        <v>22</v>
      </c>
      <c r="AJ437" s="15">
        <f t="shared" si="516"/>
        <v>12</v>
      </c>
      <c r="AK437" s="16">
        <f t="shared" si="516"/>
        <v>48</v>
      </c>
      <c r="AL437" s="7">
        <f t="shared" si="516"/>
        <v>0</v>
      </c>
      <c r="AR437" s="7" t="str">
        <f t="shared" si="505"/>
        <v>F</v>
      </c>
      <c r="AS437" s="8">
        <f t="shared" si="506"/>
        <v>4</v>
      </c>
      <c r="AT437" s="8">
        <f t="shared" si="507"/>
        <v>8</v>
      </c>
      <c r="AU437" s="13">
        <f>IF(OR(UPPER(TRIM(AC437))="AB", AC437=901, AC437="901"), 0, IF(ISNUMBER(MATCH(UPPER(TRIM(AC437)), {"A+","A","B+","B","C","D","P"}, 0)), 2, 0))</f>
        <v>2</v>
      </c>
      <c r="AV437" s="13">
        <f t="shared" si="508"/>
        <v>21</v>
      </c>
      <c r="AW437">
        <f t="shared" si="509"/>
        <v>21</v>
      </c>
      <c r="AX437" s="1">
        <f t="shared" si="510"/>
        <v>42</v>
      </c>
      <c r="AY437" s="13">
        <f t="shared" si="514"/>
        <v>202</v>
      </c>
    </row>
    <row r="438" spans="1:51">
      <c r="A438" s="7">
        <v>5241127</v>
      </c>
      <c r="B438" s="7"/>
      <c r="C438" s="33" t="s">
        <v>101</v>
      </c>
      <c r="D438" s="1" t="s">
        <v>47</v>
      </c>
      <c r="E438" s="3">
        <v>1</v>
      </c>
      <c r="F438" s="1" t="s">
        <v>48</v>
      </c>
      <c r="G438" s="1">
        <v>1461113</v>
      </c>
      <c r="H438" s="2" t="s">
        <v>54</v>
      </c>
      <c r="I438" s="5" t="s">
        <v>50</v>
      </c>
      <c r="J438" s="1">
        <v>19</v>
      </c>
      <c r="K438" s="13" t="str">
        <f t="shared" si="511"/>
        <v>P</v>
      </c>
      <c r="L438" s="1">
        <v>4</v>
      </c>
      <c r="M438" s="13" t="str">
        <f t="shared" si="512"/>
        <v>F</v>
      </c>
      <c r="AB438" s="7" t="str">
        <f t="shared" si="503"/>
        <v>23</v>
      </c>
      <c r="AC438" s="13" t="str">
        <f t="shared" si="504"/>
        <v>D</v>
      </c>
      <c r="AD438" s="13" t="str">
        <f t="shared" si="515"/>
        <v>202</v>
      </c>
      <c r="AE438" s="1">
        <v>550</v>
      </c>
      <c r="AF438" s="15">
        <f t="shared" si="513"/>
        <v>36.727272727272727</v>
      </c>
      <c r="AG438" s="13" t="str">
        <f t="shared" si="513"/>
        <v>ATKT</v>
      </c>
      <c r="AI438" s="1">
        <v>22</v>
      </c>
      <c r="AJ438" s="15">
        <f t="shared" si="516"/>
        <v>12</v>
      </c>
      <c r="AK438" s="16">
        <f t="shared" si="516"/>
        <v>48</v>
      </c>
      <c r="AL438" s="7">
        <f t="shared" si="516"/>
        <v>0</v>
      </c>
      <c r="AR438" s="7" t="str">
        <f t="shared" si="505"/>
        <v>F</v>
      </c>
      <c r="AS438" s="8">
        <f t="shared" si="506"/>
        <v>4</v>
      </c>
      <c r="AT438" s="8">
        <f t="shared" si="507"/>
        <v>8</v>
      </c>
      <c r="AU438" s="13">
        <f>IF(OR(UPPER(TRIM(AC438))="AB", AC438=901, AC438="901"), 0, IF(ISNUMBER(MATCH(UPPER(TRIM(AC438)), {"A+","A","B+","B","C","D","P"}, 0)), 2, 0))</f>
        <v>2</v>
      </c>
      <c r="AV438" s="13">
        <f t="shared" si="508"/>
        <v>23</v>
      </c>
      <c r="AW438">
        <f t="shared" si="509"/>
        <v>23</v>
      </c>
      <c r="AX438" s="1">
        <f t="shared" si="510"/>
        <v>46</v>
      </c>
      <c r="AY438" s="13">
        <f t="shared" si="514"/>
        <v>202</v>
      </c>
    </row>
    <row r="439" spans="1:51">
      <c r="A439" s="7">
        <v>5241127</v>
      </c>
      <c r="B439" s="7"/>
      <c r="C439" s="33" t="s">
        <v>101</v>
      </c>
      <c r="D439" s="1" t="s">
        <v>47</v>
      </c>
      <c r="E439" s="3">
        <v>1</v>
      </c>
      <c r="F439" s="1" t="s">
        <v>48</v>
      </c>
      <c r="G439" s="1">
        <v>1461411</v>
      </c>
      <c r="H439" s="2" t="s">
        <v>55</v>
      </c>
      <c r="I439" s="5" t="s">
        <v>50</v>
      </c>
      <c r="J439" s="1">
        <v>10</v>
      </c>
      <c r="K439" s="13" t="str">
        <f t="shared" si="511"/>
        <v>P</v>
      </c>
      <c r="L439" s="1">
        <v>12</v>
      </c>
      <c r="M439" s="13" t="str">
        <f t="shared" si="512"/>
        <v>P</v>
      </c>
      <c r="AB439" s="7" t="str">
        <f t="shared" si="503"/>
        <v>22</v>
      </c>
      <c r="AC439" s="13" t="str">
        <f t="shared" si="504"/>
        <v>D</v>
      </c>
      <c r="AD439" s="13" t="str">
        <f t="shared" si="515"/>
        <v>202</v>
      </c>
      <c r="AE439" s="1">
        <v>550</v>
      </c>
      <c r="AF439" s="15">
        <f t="shared" si="513"/>
        <v>36.727272727272727</v>
      </c>
      <c r="AG439" s="13" t="str">
        <f t="shared" si="513"/>
        <v>ATKT</v>
      </c>
      <c r="AI439" s="1">
        <v>22</v>
      </c>
      <c r="AJ439" s="15">
        <f t="shared" si="516"/>
        <v>12</v>
      </c>
      <c r="AK439" s="16">
        <f t="shared" si="516"/>
        <v>48</v>
      </c>
      <c r="AL439" s="7">
        <f t="shared" si="516"/>
        <v>0</v>
      </c>
      <c r="AR439" s="7" t="str">
        <f t="shared" si="505"/>
        <v>F</v>
      </c>
      <c r="AS439" s="8">
        <f t="shared" si="506"/>
        <v>4</v>
      </c>
      <c r="AT439" s="8">
        <f t="shared" si="507"/>
        <v>8</v>
      </c>
      <c r="AU439" s="13">
        <f>IF(OR(UPPER(TRIM(AC439))="AB", AC439=901, AC439="901"), 0, IF(ISNUMBER(MATCH(UPPER(TRIM(AC439)), {"A+","A","B+","B","C","D","P"}, 0)), 2, 0))</f>
        <v>2</v>
      </c>
      <c r="AV439" s="13">
        <f t="shared" si="508"/>
        <v>22</v>
      </c>
      <c r="AW439">
        <f t="shared" si="509"/>
        <v>22</v>
      </c>
      <c r="AX439" s="1">
        <f t="shared" si="510"/>
        <v>44</v>
      </c>
      <c r="AY439" s="13">
        <f t="shared" si="514"/>
        <v>202</v>
      </c>
    </row>
    <row r="440" spans="1:51">
      <c r="A440" s="7">
        <v>5241127</v>
      </c>
      <c r="B440" s="7"/>
      <c r="C440" s="33" t="s">
        <v>101</v>
      </c>
      <c r="D440" s="1" t="s">
        <v>47</v>
      </c>
      <c r="E440" s="3">
        <v>1</v>
      </c>
      <c r="F440" s="1" t="s">
        <v>48</v>
      </c>
      <c r="G440" s="1">
        <v>1461412</v>
      </c>
      <c r="H440" s="2" t="s">
        <v>56</v>
      </c>
      <c r="I440" s="5" t="s">
        <v>50</v>
      </c>
      <c r="J440" s="1">
        <v>9</v>
      </c>
      <c r="K440" s="13" t="str">
        <f t="shared" si="511"/>
        <v>P</v>
      </c>
      <c r="L440" s="1">
        <v>5</v>
      </c>
      <c r="M440" s="13" t="str">
        <f t="shared" si="512"/>
        <v>F</v>
      </c>
      <c r="AB440" s="7" t="str">
        <f t="shared" si="503"/>
        <v>14</v>
      </c>
      <c r="AC440" s="13" t="str">
        <f t="shared" si="504"/>
        <v>F</v>
      </c>
      <c r="AD440" s="13" t="str">
        <f t="shared" si="515"/>
        <v>202</v>
      </c>
      <c r="AE440" s="1">
        <v>550</v>
      </c>
      <c r="AF440" s="15">
        <f t="shared" si="513"/>
        <v>36.727272727272727</v>
      </c>
      <c r="AG440" s="13" t="str">
        <f t="shared" si="513"/>
        <v>ATKT</v>
      </c>
      <c r="AI440" s="1">
        <v>22</v>
      </c>
      <c r="AJ440" s="15">
        <f t="shared" si="516"/>
        <v>12</v>
      </c>
      <c r="AK440" s="16">
        <f t="shared" si="516"/>
        <v>48</v>
      </c>
      <c r="AL440" s="7">
        <f t="shared" si="516"/>
        <v>0</v>
      </c>
      <c r="AR440" s="7" t="str">
        <f t="shared" si="505"/>
        <v>F</v>
      </c>
      <c r="AS440" s="8">
        <f t="shared" si="506"/>
        <v>0</v>
      </c>
      <c r="AT440" s="8">
        <f t="shared" si="507"/>
        <v>0</v>
      </c>
      <c r="AU440" s="13">
        <f>IF(OR(UPPER(TRIM(AC440))="AB", AC440=901, AC440="901"), 0, IF(ISNUMBER(MATCH(UPPER(TRIM(AC440)), {"A+","A","B+","B","C","D","P"}, 0)), 2, 0))</f>
        <v>0</v>
      </c>
      <c r="AV440" s="13">
        <f t="shared" si="508"/>
        <v>14</v>
      </c>
      <c r="AW440">
        <f t="shared" si="509"/>
        <v>14</v>
      </c>
      <c r="AX440" s="1">
        <f t="shared" si="510"/>
        <v>28.000000000000004</v>
      </c>
      <c r="AY440" s="13">
        <f t="shared" si="514"/>
        <v>202</v>
      </c>
    </row>
    <row r="441" spans="1:51">
      <c r="A441" s="7">
        <v>5241127</v>
      </c>
      <c r="B441" s="7"/>
      <c r="C441" s="33" t="s">
        <v>101</v>
      </c>
      <c r="D441" s="1" t="s">
        <v>47</v>
      </c>
      <c r="E441" s="3">
        <v>1</v>
      </c>
      <c r="F441" s="1" t="s">
        <v>48</v>
      </c>
      <c r="G441" s="1">
        <v>2511515</v>
      </c>
      <c r="H441" s="2" t="s">
        <v>57</v>
      </c>
      <c r="I441" s="5" t="s">
        <v>50</v>
      </c>
      <c r="J441" s="1">
        <v>9</v>
      </c>
      <c r="K441" s="13" t="str">
        <f t="shared" si="511"/>
        <v>P</v>
      </c>
      <c r="L441" s="1">
        <v>12</v>
      </c>
      <c r="M441" s="13" t="str">
        <f t="shared" si="512"/>
        <v>P</v>
      </c>
      <c r="AB441" s="7" t="str">
        <f t="shared" si="503"/>
        <v>21</v>
      </c>
      <c r="AC441" s="13" t="str">
        <f t="shared" si="504"/>
        <v>D</v>
      </c>
      <c r="AD441" s="13" t="str">
        <f t="shared" si="515"/>
        <v>202</v>
      </c>
      <c r="AE441" s="1">
        <v>550</v>
      </c>
      <c r="AF441" s="15">
        <f t="shared" si="513"/>
        <v>36.727272727272727</v>
      </c>
      <c r="AG441" s="13" t="str">
        <f t="shared" si="513"/>
        <v>ATKT</v>
      </c>
      <c r="AI441" s="1">
        <v>22</v>
      </c>
      <c r="AJ441" s="15">
        <f t="shared" si="516"/>
        <v>12</v>
      </c>
      <c r="AK441" s="16">
        <f t="shared" si="516"/>
        <v>48</v>
      </c>
      <c r="AL441" s="7">
        <f t="shared" si="516"/>
        <v>0</v>
      </c>
      <c r="AR441" s="7" t="str">
        <f t="shared" si="505"/>
        <v>F</v>
      </c>
      <c r="AS441" s="8">
        <f t="shared" si="506"/>
        <v>4</v>
      </c>
      <c r="AT441" s="8">
        <f t="shared" si="507"/>
        <v>8</v>
      </c>
      <c r="AU441" s="13">
        <f>IF(OR(UPPER(TRIM(AC441))="AB", AC441=901, AC441="901"), 0, IF(ISNUMBER(MATCH(UPPER(TRIM(AC441)), {"A+","A","B+","B","C","D","P"}, 0)), 2, 0))</f>
        <v>2</v>
      </c>
      <c r="AV441" s="13">
        <f t="shared" si="508"/>
        <v>21</v>
      </c>
      <c r="AW441">
        <f t="shared" si="509"/>
        <v>21</v>
      </c>
      <c r="AX441" s="1">
        <f t="shared" si="510"/>
        <v>42</v>
      </c>
      <c r="AY441" s="13">
        <f t="shared" si="514"/>
        <v>202</v>
      </c>
    </row>
    <row r="442" spans="1:51" ht="28.8">
      <c r="A442" s="7">
        <v>5241127</v>
      </c>
      <c r="B442" s="7"/>
      <c r="C442" s="33" t="s">
        <v>101</v>
      </c>
      <c r="D442" s="1" t="s">
        <v>47</v>
      </c>
      <c r="E442" s="3">
        <v>1</v>
      </c>
      <c r="F442" s="1" t="s">
        <v>48</v>
      </c>
      <c r="G442" s="1">
        <v>2521615</v>
      </c>
      <c r="H442" s="30" t="s">
        <v>96</v>
      </c>
      <c r="I442" s="5" t="s">
        <v>50</v>
      </c>
      <c r="J442" s="1">
        <v>15</v>
      </c>
      <c r="K442" s="13" t="str">
        <f t="shared" si="511"/>
        <v>P</v>
      </c>
      <c r="L442" s="1">
        <v>901</v>
      </c>
      <c r="M442" s="13" t="str">
        <f t="shared" si="512"/>
        <v>F</v>
      </c>
      <c r="AB442" s="7" t="str">
        <f t="shared" si="503"/>
        <v>15</v>
      </c>
      <c r="AC442" s="13" t="str">
        <f t="shared" si="504"/>
        <v>F</v>
      </c>
      <c r="AD442" s="13" t="str">
        <f t="shared" si="515"/>
        <v>202</v>
      </c>
      <c r="AE442" s="1">
        <v>550</v>
      </c>
      <c r="AF442" s="15">
        <f t="shared" si="513"/>
        <v>36.727272727272727</v>
      </c>
      <c r="AG442" s="13" t="str">
        <f t="shared" si="513"/>
        <v>ATKT</v>
      </c>
      <c r="AI442" s="1">
        <v>22</v>
      </c>
      <c r="AJ442" s="15">
        <f t="shared" si="516"/>
        <v>12</v>
      </c>
      <c r="AK442" s="16">
        <f t="shared" si="516"/>
        <v>48</v>
      </c>
      <c r="AL442" s="7">
        <f t="shared" si="516"/>
        <v>0</v>
      </c>
      <c r="AR442" s="7" t="str">
        <f t="shared" si="505"/>
        <v>F</v>
      </c>
      <c r="AS442" s="8">
        <f t="shared" si="506"/>
        <v>0</v>
      </c>
      <c r="AT442" s="8">
        <f t="shared" si="507"/>
        <v>0</v>
      </c>
      <c r="AU442" s="13">
        <f>IF(OR(UPPER(TRIM(AC442))="AB", AC442=901, AC442="901"), 0, IF(ISNUMBER(MATCH(UPPER(TRIM(AC442)), {"A+","A","B+","B","C","D","P"}, 0)), 2, 0))</f>
        <v>0</v>
      </c>
      <c r="AV442" s="13">
        <f t="shared" si="508"/>
        <v>15</v>
      </c>
      <c r="AW442">
        <f t="shared" si="509"/>
        <v>15</v>
      </c>
      <c r="AX442" s="1">
        <f t="shared" si="510"/>
        <v>30</v>
      </c>
      <c r="AY442" s="13">
        <f t="shared" si="514"/>
        <v>202</v>
      </c>
    </row>
    <row r="443" spans="1:51">
      <c r="A443" s="7">
        <v>5241127</v>
      </c>
      <c r="B443" s="7"/>
      <c r="C443" s="33" t="s">
        <v>101</v>
      </c>
      <c r="D443" s="1" t="s">
        <v>47</v>
      </c>
      <c r="E443" s="3">
        <v>1</v>
      </c>
      <c r="F443" s="1" t="s">
        <v>48</v>
      </c>
      <c r="G443" s="1">
        <v>2531511</v>
      </c>
      <c r="H443" s="2" t="s">
        <v>59</v>
      </c>
      <c r="I443" s="5" t="s">
        <v>50</v>
      </c>
      <c r="J443" s="1">
        <v>10</v>
      </c>
      <c r="K443" s="13" t="str">
        <f t="shared" si="511"/>
        <v>P</v>
      </c>
      <c r="L443" s="1">
        <v>12</v>
      </c>
      <c r="M443" s="13" t="str">
        <f t="shared" si="512"/>
        <v>P</v>
      </c>
      <c r="AB443" s="7" t="str">
        <f t="shared" si="503"/>
        <v>22</v>
      </c>
      <c r="AC443" s="13" t="str">
        <f t="shared" si="504"/>
        <v>D</v>
      </c>
      <c r="AD443" s="13" t="str">
        <f t="shared" si="515"/>
        <v>202</v>
      </c>
      <c r="AE443" s="1">
        <v>550</v>
      </c>
      <c r="AF443" s="15">
        <f t="shared" si="513"/>
        <v>36.727272727272727</v>
      </c>
      <c r="AG443" s="13" t="str">
        <f t="shared" si="513"/>
        <v>ATKT</v>
      </c>
      <c r="AI443" s="1">
        <v>22</v>
      </c>
      <c r="AJ443" s="15">
        <f t="shared" si="516"/>
        <v>12</v>
      </c>
      <c r="AK443" s="16">
        <f t="shared" si="516"/>
        <v>48</v>
      </c>
      <c r="AL443" s="7">
        <f t="shared" si="516"/>
        <v>0</v>
      </c>
      <c r="AR443" s="7" t="str">
        <f t="shared" si="505"/>
        <v>F</v>
      </c>
      <c r="AS443" s="8">
        <f t="shared" si="506"/>
        <v>4</v>
      </c>
      <c r="AT443" s="8">
        <f t="shared" si="507"/>
        <v>8</v>
      </c>
      <c r="AU443" s="13">
        <f>IF(OR(UPPER(TRIM(AC443))="AB", AC443=901, AC443="901"), 0, IF(ISNUMBER(MATCH(UPPER(TRIM(AC443)), {"A+","A","B+","B","C","D","P"}, 0)), 2, 0))</f>
        <v>2</v>
      </c>
      <c r="AV443" s="13">
        <f t="shared" si="508"/>
        <v>22</v>
      </c>
      <c r="AW443">
        <f t="shared" si="509"/>
        <v>22</v>
      </c>
      <c r="AX443" s="1">
        <f t="shared" si="510"/>
        <v>44</v>
      </c>
      <c r="AY443" s="13">
        <f t="shared" si="514"/>
        <v>202</v>
      </c>
    </row>
    <row r="444" spans="1:51">
      <c r="A444" s="7">
        <v>5241127</v>
      </c>
      <c r="B444" s="7"/>
      <c r="C444" s="33" t="s">
        <v>101</v>
      </c>
      <c r="D444" s="1" t="s">
        <v>47</v>
      </c>
      <c r="E444" s="3">
        <v>1</v>
      </c>
      <c r="F444" s="1" t="s">
        <v>48</v>
      </c>
      <c r="G444" s="1">
        <v>2541515</v>
      </c>
      <c r="H444" s="2" t="s">
        <v>60</v>
      </c>
      <c r="I444" s="5" t="s">
        <v>50</v>
      </c>
      <c r="J444" s="1">
        <v>12</v>
      </c>
      <c r="K444" s="13" t="str">
        <f t="shared" si="511"/>
        <v>P</v>
      </c>
      <c r="L444" s="6">
        <v>0</v>
      </c>
      <c r="M444" s="13" t="str">
        <f t="shared" si="512"/>
        <v>F</v>
      </c>
      <c r="AB444" s="7" t="str">
        <f t="shared" si="503"/>
        <v>12</v>
      </c>
      <c r="AC444" s="13" t="str">
        <f t="shared" si="504"/>
        <v>F</v>
      </c>
      <c r="AD444" s="13" t="str">
        <f t="shared" si="515"/>
        <v>202</v>
      </c>
      <c r="AE444" s="1">
        <v>550</v>
      </c>
      <c r="AF444" s="15">
        <f t="shared" si="513"/>
        <v>36.727272727272727</v>
      </c>
      <c r="AG444" s="13" t="str">
        <f t="shared" si="513"/>
        <v>ATKT</v>
      </c>
      <c r="AI444" s="1">
        <v>22</v>
      </c>
      <c r="AJ444" s="15">
        <f t="shared" si="516"/>
        <v>12</v>
      </c>
      <c r="AK444" s="16">
        <f t="shared" si="516"/>
        <v>48</v>
      </c>
      <c r="AL444" s="7">
        <f t="shared" si="516"/>
        <v>0</v>
      </c>
      <c r="AR444" s="7" t="str">
        <f t="shared" si="505"/>
        <v>F</v>
      </c>
      <c r="AS444" s="8">
        <f t="shared" si="506"/>
        <v>0</v>
      </c>
      <c r="AT444" s="8">
        <f t="shared" si="507"/>
        <v>0</v>
      </c>
      <c r="AU444" s="13">
        <f>IF(OR(UPPER(TRIM(AC444))="AB", AC444=901, AC444="901"), 0, IF(ISNUMBER(MATCH(UPPER(TRIM(AC444)), {"A+","A","B+","B","C","D","P"}, 0)), 2, 0))</f>
        <v>0</v>
      </c>
      <c r="AV444" s="13">
        <f t="shared" si="508"/>
        <v>12</v>
      </c>
      <c r="AW444">
        <f t="shared" si="509"/>
        <v>12</v>
      </c>
      <c r="AX444" s="1">
        <f t="shared" si="510"/>
        <v>24</v>
      </c>
      <c r="AY444" s="13">
        <f t="shared" si="514"/>
        <v>202</v>
      </c>
    </row>
    <row r="446" spans="1:51">
      <c r="A446" s="7">
        <v>5259846</v>
      </c>
      <c r="B446" s="7"/>
      <c r="C446" s="33" t="s">
        <v>102</v>
      </c>
      <c r="D446" s="1" t="s">
        <v>47</v>
      </c>
      <c r="E446" s="3">
        <v>1</v>
      </c>
      <c r="F446" s="1" t="s">
        <v>48</v>
      </c>
      <c r="G446" s="1">
        <v>1011312</v>
      </c>
      <c r="H446" s="2" t="s">
        <v>49</v>
      </c>
      <c r="I446" s="5" t="s">
        <v>50</v>
      </c>
      <c r="J446" s="6">
        <v>11</v>
      </c>
      <c r="K446" s="13" t="str">
        <f>IF(OR(UPPER(TRIM(J446))="AB",J446=901,J446="901"),"F",IF(J446&gt;=8,"P","F"))</f>
        <v>P</v>
      </c>
      <c r="L446" s="1">
        <v>13</v>
      </c>
      <c r="M446" s="13" t="str">
        <f>IF(OR(UPPER(TRIM(L446))="AB",L446=901,L446="901"),"F",IF(L446&gt;=8,"P","F"))</f>
        <v>P</v>
      </c>
      <c r="N446" s="13"/>
      <c r="O446" s="13"/>
      <c r="P446" s="13"/>
      <c r="Q446" s="13"/>
      <c r="R446" s="13"/>
      <c r="S446" s="13"/>
      <c r="T446" s="13"/>
      <c r="U446" s="13"/>
      <c r="V446" s="13"/>
      <c r="W446" s="13"/>
      <c r="X446" s="13"/>
      <c r="Y446" s="13"/>
      <c r="Z446" s="13"/>
      <c r="AB446" s="7" t="str">
        <f t="shared" ref="AB446:AB456" si="517">AV446 &amp; IF(AA446&lt;&gt;"", " @ " &amp; AA446, "")</f>
        <v>24</v>
      </c>
      <c r="AC446" s="13" t="str">
        <f t="shared" ref="AC446:AC456" si="518">IF(AX446&gt;=90,"O",
IF(AX446&gt;=80,"A+",
IF(AX446&gt;=70,"A",
IF(AX446&gt;=60,"B+",
IF(AX446&gt;=55,"B",
IF(AX446&gt;=50,"C",
IF(AX446&gt;=40,"D","F")))))))</f>
        <v>D</v>
      </c>
      <c r="AD446" s="13" t="str">
        <f>SUM(AV446:AV456) &amp; IF(SUM(AA446:AA456)&gt;0, " @ " &amp; SUM(AA446:AA456), "")</f>
        <v>207</v>
      </c>
      <c r="AE446" s="1">
        <v>550</v>
      </c>
      <c r="AF446" s="15">
        <f>AY446/AE446*100</f>
        <v>37.636363636363633</v>
      </c>
      <c r="AG446" s="13" t="str" cm="1">
        <f t="array" ref="AG446">IF(
  SUMPRODUCT(--(IFERROR(VALUE(J446:J456),9999)&lt;8))
  + SUMPRODUCT(--(IFERROR(VALUE(L446:L456),9999)&lt;12))
  + COUNTIF(J446:J456,"AB") + COUNTIF(L446:L456,"AB")
  + COUNTIF(J446:J456,901) + COUNTIF(L446:L456,901) &gt; 0,
  "ATKT",
  "PASS"
)</f>
        <v>ATKT</v>
      </c>
      <c r="AI446" s="1">
        <v>22</v>
      </c>
      <c r="AJ446" s="15">
        <f>SUM(AU446:AU456)</f>
        <v>14</v>
      </c>
      <c r="AK446" s="16">
        <f>SUM(AT446:AT456)</f>
        <v>58</v>
      </c>
      <c r="AL446" s="7">
        <f>IF(UPPER(TRIM(AG446))="ATKT",0,ROUND( (SUM(AT446:AT456) /22), 2))</f>
        <v>0</v>
      </c>
      <c r="AR446" s="7" t="str">
        <f t="shared" ref="AR446:AR456" si="519">IF(AL446&gt;=9,"O", IF(AL446&gt;=8,"A+", IF(AL446&gt;=7,"A", IF(AL446&gt;=6,"B+", IF(AL446&gt;=5.5,"B", IF(AL446&gt;=5,"C", IF(AL446&gt;=4,"D","F")))))))</f>
        <v>F</v>
      </c>
      <c r="AS446" s="8">
        <f t="shared" ref="AS446:AS456" si="520">IF(AX446&gt;=90,10,
IF(AX446&gt;=80,9,
IF(AX446&gt;=70,8,
IF(AX446&gt;=60,7,
IF(AX446&gt;=55,6,
IF(AX446&gt;=50,5,
IF(AX446&gt;=40,4,0)))))))</f>
        <v>4</v>
      </c>
      <c r="AT446" s="8">
        <f t="shared" ref="AT446:AT456" si="521">AS446*I446</f>
        <v>8</v>
      </c>
      <c r="AU446" s="13">
        <f>IF(OR(UPPER(TRIM(AC446))="AB", AC446=901, AC446="901"), 0, IF(ISNUMBER(MATCH(UPPER(TRIM(AC446)), {"A+","A","B+","B","C","D","P"}, 0)), 2, 0))</f>
        <v>2</v>
      </c>
      <c r="AV446" s="13">
        <f t="shared" ref="AV446:AV456" si="522">SUM(
IF(OR(UPPER(TRIM(J446))="AB",J446=901,J446="901"),0,IFERROR(VALUE(J446),0)),
IF(OR(UPPER(TRIM(L446))="AB",L446=901,L446="901"),0,IFERROR(VALUE(L446),0)),
IF(OR(UPPER(TRIM(N446))="AB",N446=901,N446="901"),0,IFERROR(VALUE(N446),0))
)</f>
        <v>24</v>
      </c>
      <c r="AW446">
        <f t="shared" ref="AW446:AW456" si="523">AA446+AV446</f>
        <v>24</v>
      </c>
      <c r="AX446" s="1">
        <f t="shared" ref="AX446:AX456" si="524">(AW446 / 50) * 100</f>
        <v>48</v>
      </c>
      <c r="AY446" s="13">
        <f>SUM(AW446:AW456)</f>
        <v>207</v>
      </c>
    </row>
    <row r="447" spans="1:51">
      <c r="A447" s="7">
        <v>5259846</v>
      </c>
      <c r="B447" s="7"/>
      <c r="C447" s="33" t="s">
        <v>102</v>
      </c>
      <c r="D447" s="1" t="s">
        <v>47</v>
      </c>
      <c r="E447" s="3">
        <v>1</v>
      </c>
      <c r="F447" s="1" t="s">
        <v>48</v>
      </c>
      <c r="G447" s="1">
        <v>1171312</v>
      </c>
      <c r="H447" s="2" t="s">
        <v>51</v>
      </c>
      <c r="I447" s="5" t="s">
        <v>50</v>
      </c>
      <c r="J447" s="1">
        <v>12</v>
      </c>
      <c r="K447" s="13" t="str">
        <f t="shared" ref="K447:K456" si="525">IF(OR(UPPER(TRIM(J447))="AB",J447=901,J447="901"),"F",IF(J447&gt;=8,"P","F"))</f>
        <v>P</v>
      </c>
      <c r="L447" s="1">
        <v>2</v>
      </c>
      <c r="M447" s="13" t="str">
        <f t="shared" ref="M447:M456" si="526">IF(OR(UPPER(TRIM(L447))="AB",L447=901,L447="901"),"F",IF(L447&gt;=8,"P","F"))</f>
        <v>F</v>
      </c>
      <c r="AB447" s="7" t="str">
        <f t="shared" si="517"/>
        <v>14</v>
      </c>
      <c r="AC447" s="13" t="str">
        <f t="shared" si="518"/>
        <v>F</v>
      </c>
      <c r="AD447" s="13" t="str">
        <f>AD446</f>
        <v>207</v>
      </c>
      <c r="AE447" s="1">
        <v>550</v>
      </c>
      <c r="AF447" s="15">
        <f t="shared" ref="AF447:AG456" si="527">AF446</f>
        <v>37.636363636363633</v>
      </c>
      <c r="AG447" s="13" t="str">
        <f t="shared" si="527"/>
        <v>ATKT</v>
      </c>
      <c r="AI447" s="1">
        <v>22</v>
      </c>
      <c r="AJ447" s="15">
        <f>AJ446</f>
        <v>14</v>
      </c>
      <c r="AK447" s="16">
        <f>AK446</f>
        <v>58</v>
      </c>
      <c r="AL447" s="7">
        <f>AL446</f>
        <v>0</v>
      </c>
      <c r="AR447" s="7" t="str">
        <f t="shared" si="519"/>
        <v>F</v>
      </c>
      <c r="AS447" s="8">
        <f t="shared" si="520"/>
        <v>0</v>
      </c>
      <c r="AT447" s="8">
        <f t="shared" si="521"/>
        <v>0</v>
      </c>
      <c r="AU447" s="13">
        <f>IF(OR(UPPER(TRIM(AC447))="AB", AC447=901, AC447="901"), 0, IF(ISNUMBER(MATCH(UPPER(TRIM(AC447)), {"A+","A","B+","B","C","D","P"}, 0)), 2, 0))</f>
        <v>0</v>
      </c>
      <c r="AV447" s="13">
        <f t="shared" si="522"/>
        <v>14</v>
      </c>
      <c r="AW447">
        <f t="shared" si="523"/>
        <v>14</v>
      </c>
      <c r="AX447" s="1">
        <f t="shared" si="524"/>
        <v>28.000000000000004</v>
      </c>
      <c r="AY447" s="13">
        <f t="shared" ref="AY447:AY456" si="528">AY446</f>
        <v>207</v>
      </c>
    </row>
    <row r="448" spans="1:51">
      <c r="A448" s="7">
        <v>5259846</v>
      </c>
      <c r="B448" s="7"/>
      <c r="C448" s="33" t="s">
        <v>102</v>
      </c>
      <c r="D448" s="1" t="s">
        <v>47</v>
      </c>
      <c r="E448" s="3">
        <v>1</v>
      </c>
      <c r="F448" s="1" t="s">
        <v>48</v>
      </c>
      <c r="G448" s="1">
        <v>1461111</v>
      </c>
      <c r="H448" s="2" t="s">
        <v>52</v>
      </c>
      <c r="I448" s="5" t="s">
        <v>50</v>
      </c>
      <c r="J448" s="1">
        <v>10</v>
      </c>
      <c r="K448" s="13" t="str">
        <f t="shared" si="525"/>
        <v>P</v>
      </c>
      <c r="L448" s="1">
        <v>2</v>
      </c>
      <c r="M448" s="13" t="str">
        <f t="shared" si="526"/>
        <v>F</v>
      </c>
      <c r="AB448" s="7" t="str">
        <f t="shared" si="517"/>
        <v>12</v>
      </c>
      <c r="AC448" s="13" t="str">
        <f t="shared" si="518"/>
        <v>F</v>
      </c>
      <c r="AD448" s="13" t="str">
        <f t="shared" ref="AD448:AD456" si="529">AD447</f>
        <v>207</v>
      </c>
      <c r="AE448" s="1">
        <v>550</v>
      </c>
      <c r="AF448" s="15">
        <f t="shared" si="527"/>
        <v>37.636363636363633</v>
      </c>
      <c r="AG448" s="13" t="str">
        <f t="shared" si="527"/>
        <v>ATKT</v>
      </c>
      <c r="AI448" s="1">
        <v>22</v>
      </c>
      <c r="AJ448" s="15">
        <f t="shared" ref="AJ448:AL456" si="530">AJ447</f>
        <v>14</v>
      </c>
      <c r="AK448" s="16">
        <f t="shared" si="530"/>
        <v>58</v>
      </c>
      <c r="AL448" s="7">
        <f t="shared" si="530"/>
        <v>0</v>
      </c>
      <c r="AR448" s="7" t="str">
        <f t="shared" si="519"/>
        <v>F</v>
      </c>
      <c r="AS448" s="8">
        <f t="shared" si="520"/>
        <v>0</v>
      </c>
      <c r="AT448" s="8">
        <f t="shared" si="521"/>
        <v>0</v>
      </c>
      <c r="AU448" s="13">
        <f>IF(OR(UPPER(TRIM(AC448))="AB", AC448=901, AC448="901"), 0, IF(ISNUMBER(MATCH(UPPER(TRIM(AC448)), {"A+","A","B+","B","C","D","P"}, 0)), 2, 0))</f>
        <v>0</v>
      </c>
      <c r="AV448" s="13">
        <f t="shared" si="522"/>
        <v>12</v>
      </c>
      <c r="AW448">
        <f t="shared" si="523"/>
        <v>12</v>
      </c>
      <c r="AX448" s="1">
        <f t="shared" si="524"/>
        <v>24</v>
      </c>
      <c r="AY448" s="13">
        <f t="shared" si="528"/>
        <v>207</v>
      </c>
    </row>
    <row r="449" spans="1:51">
      <c r="A449" s="7">
        <v>5259846</v>
      </c>
      <c r="B449" s="7"/>
      <c r="C449" s="33" t="s">
        <v>102</v>
      </c>
      <c r="D449" s="1" t="s">
        <v>47</v>
      </c>
      <c r="E449" s="3">
        <v>1</v>
      </c>
      <c r="F449" s="1" t="s">
        <v>48</v>
      </c>
      <c r="G449" s="1">
        <v>1461112</v>
      </c>
      <c r="H449" s="2" t="s">
        <v>53</v>
      </c>
      <c r="I449" s="5" t="s">
        <v>50</v>
      </c>
      <c r="J449" s="1">
        <v>10</v>
      </c>
      <c r="K449" s="13" t="str">
        <f t="shared" si="525"/>
        <v>P</v>
      </c>
      <c r="L449" s="1">
        <v>2</v>
      </c>
      <c r="M449" s="13" t="str">
        <f t="shared" si="526"/>
        <v>F</v>
      </c>
      <c r="AB449" s="7" t="str">
        <f t="shared" si="517"/>
        <v>12</v>
      </c>
      <c r="AC449" s="13" t="str">
        <f t="shared" si="518"/>
        <v>F</v>
      </c>
      <c r="AD449" s="13" t="str">
        <f t="shared" si="529"/>
        <v>207</v>
      </c>
      <c r="AE449" s="1">
        <v>550</v>
      </c>
      <c r="AF449" s="15">
        <f t="shared" si="527"/>
        <v>37.636363636363633</v>
      </c>
      <c r="AG449" s="13" t="str">
        <f t="shared" si="527"/>
        <v>ATKT</v>
      </c>
      <c r="AI449" s="1">
        <v>22</v>
      </c>
      <c r="AJ449" s="15">
        <f t="shared" si="530"/>
        <v>14</v>
      </c>
      <c r="AK449" s="16">
        <f t="shared" si="530"/>
        <v>58</v>
      </c>
      <c r="AL449" s="7">
        <f t="shared" si="530"/>
        <v>0</v>
      </c>
      <c r="AR449" s="7" t="str">
        <f t="shared" si="519"/>
        <v>F</v>
      </c>
      <c r="AS449" s="8">
        <f t="shared" si="520"/>
        <v>0</v>
      </c>
      <c r="AT449" s="8">
        <f t="shared" si="521"/>
        <v>0</v>
      </c>
      <c r="AU449" s="13">
        <f>IF(OR(UPPER(TRIM(AC449))="AB", AC449=901, AC449="901"), 0, IF(ISNUMBER(MATCH(UPPER(TRIM(AC449)), {"A+","A","B+","B","C","D","P"}, 0)), 2, 0))</f>
        <v>0</v>
      </c>
      <c r="AV449" s="13">
        <f t="shared" si="522"/>
        <v>12</v>
      </c>
      <c r="AW449">
        <f t="shared" si="523"/>
        <v>12</v>
      </c>
      <c r="AX449" s="1">
        <f t="shared" si="524"/>
        <v>24</v>
      </c>
      <c r="AY449" s="13">
        <f t="shared" si="528"/>
        <v>207</v>
      </c>
    </row>
    <row r="450" spans="1:51">
      <c r="A450" s="7">
        <v>5259846</v>
      </c>
      <c r="B450" s="7"/>
      <c r="C450" s="33" t="s">
        <v>102</v>
      </c>
      <c r="D450" s="1" t="s">
        <v>47</v>
      </c>
      <c r="E450" s="3">
        <v>1</v>
      </c>
      <c r="F450" s="1" t="s">
        <v>48</v>
      </c>
      <c r="G450" s="1">
        <v>1461113</v>
      </c>
      <c r="H450" s="2" t="s">
        <v>54</v>
      </c>
      <c r="I450" s="5" t="s">
        <v>50</v>
      </c>
      <c r="J450" s="1">
        <v>10</v>
      </c>
      <c r="K450" s="13" t="str">
        <f t="shared" si="525"/>
        <v>P</v>
      </c>
      <c r="L450" s="1">
        <v>12</v>
      </c>
      <c r="M450" s="13" t="str">
        <f t="shared" si="526"/>
        <v>P</v>
      </c>
      <c r="AB450" s="7" t="str">
        <f t="shared" si="517"/>
        <v>22</v>
      </c>
      <c r="AC450" s="13" t="str">
        <f t="shared" si="518"/>
        <v>D</v>
      </c>
      <c r="AD450" s="13" t="str">
        <f t="shared" si="529"/>
        <v>207</v>
      </c>
      <c r="AE450" s="1">
        <v>550</v>
      </c>
      <c r="AF450" s="15">
        <f t="shared" si="527"/>
        <v>37.636363636363633</v>
      </c>
      <c r="AG450" s="13" t="str">
        <f t="shared" si="527"/>
        <v>ATKT</v>
      </c>
      <c r="AI450" s="1">
        <v>22</v>
      </c>
      <c r="AJ450" s="15">
        <f t="shared" si="530"/>
        <v>14</v>
      </c>
      <c r="AK450" s="16">
        <f t="shared" si="530"/>
        <v>58</v>
      </c>
      <c r="AL450" s="7">
        <f t="shared" si="530"/>
        <v>0</v>
      </c>
      <c r="AR450" s="7" t="str">
        <f t="shared" si="519"/>
        <v>F</v>
      </c>
      <c r="AS450" s="8">
        <f t="shared" si="520"/>
        <v>4</v>
      </c>
      <c r="AT450" s="8">
        <f t="shared" si="521"/>
        <v>8</v>
      </c>
      <c r="AU450" s="13">
        <f>IF(OR(UPPER(TRIM(AC450))="AB", AC450=901, AC450="901"), 0, IF(ISNUMBER(MATCH(UPPER(TRIM(AC450)), {"A+","A","B+","B","C","D","P"}, 0)), 2, 0))</f>
        <v>2</v>
      </c>
      <c r="AV450" s="13">
        <f t="shared" si="522"/>
        <v>22</v>
      </c>
      <c r="AW450">
        <f t="shared" si="523"/>
        <v>22</v>
      </c>
      <c r="AX450" s="1">
        <f t="shared" si="524"/>
        <v>44</v>
      </c>
      <c r="AY450" s="13">
        <f t="shared" si="528"/>
        <v>207</v>
      </c>
    </row>
    <row r="451" spans="1:51">
      <c r="A451" s="7">
        <v>5259846</v>
      </c>
      <c r="B451" s="7"/>
      <c r="C451" s="33" t="s">
        <v>102</v>
      </c>
      <c r="D451" s="1" t="s">
        <v>47</v>
      </c>
      <c r="E451" s="3">
        <v>1</v>
      </c>
      <c r="F451" s="1" t="s">
        <v>48</v>
      </c>
      <c r="G451" s="1">
        <v>1461411</v>
      </c>
      <c r="H451" s="2" t="s">
        <v>55</v>
      </c>
      <c r="I451" s="5" t="s">
        <v>50</v>
      </c>
      <c r="J451" s="1">
        <v>9</v>
      </c>
      <c r="K451" s="13" t="str">
        <f t="shared" si="525"/>
        <v>P</v>
      </c>
      <c r="L451" s="1">
        <v>12</v>
      </c>
      <c r="M451" s="13" t="str">
        <f t="shared" si="526"/>
        <v>P</v>
      </c>
      <c r="AB451" s="7" t="str">
        <f t="shared" si="517"/>
        <v>21</v>
      </c>
      <c r="AC451" s="13" t="str">
        <f t="shared" si="518"/>
        <v>D</v>
      </c>
      <c r="AD451" s="13" t="str">
        <f t="shared" si="529"/>
        <v>207</v>
      </c>
      <c r="AE451" s="1">
        <v>550</v>
      </c>
      <c r="AF451" s="15">
        <f t="shared" si="527"/>
        <v>37.636363636363633</v>
      </c>
      <c r="AG451" s="13" t="str">
        <f t="shared" si="527"/>
        <v>ATKT</v>
      </c>
      <c r="AI451" s="1">
        <v>22</v>
      </c>
      <c r="AJ451" s="15">
        <f t="shared" si="530"/>
        <v>14</v>
      </c>
      <c r="AK451" s="16">
        <f t="shared" si="530"/>
        <v>58</v>
      </c>
      <c r="AL451" s="7">
        <f t="shared" si="530"/>
        <v>0</v>
      </c>
      <c r="AR451" s="7" t="str">
        <f t="shared" si="519"/>
        <v>F</v>
      </c>
      <c r="AS451" s="8">
        <f t="shared" si="520"/>
        <v>4</v>
      </c>
      <c r="AT451" s="8">
        <f t="shared" si="521"/>
        <v>8</v>
      </c>
      <c r="AU451" s="13">
        <f>IF(OR(UPPER(TRIM(AC451))="AB", AC451=901, AC451="901"), 0, IF(ISNUMBER(MATCH(UPPER(TRIM(AC451)), {"A+","A","B+","B","C","D","P"}, 0)), 2, 0))</f>
        <v>2</v>
      </c>
      <c r="AV451" s="13">
        <f t="shared" si="522"/>
        <v>21</v>
      </c>
      <c r="AW451">
        <f t="shared" si="523"/>
        <v>21</v>
      </c>
      <c r="AX451" s="1">
        <f t="shared" si="524"/>
        <v>42</v>
      </c>
      <c r="AY451" s="13">
        <f t="shared" si="528"/>
        <v>207</v>
      </c>
    </row>
    <row r="452" spans="1:51">
      <c r="A452" s="7">
        <v>5259846</v>
      </c>
      <c r="B452" s="7"/>
      <c r="C452" s="33" t="s">
        <v>102</v>
      </c>
      <c r="D452" s="1" t="s">
        <v>47</v>
      </c>
      <c r="E452" s="3">
        <v>1</v>
      </c>
      <c r="F452" s="1" t="s">
        <v>48</v>
      </c>
      <c r="G452" s="1">
        <v>1461412</v>
      </c>
      <c r="H452" s="2" t="s">
        <v>56</v>
      </c>
      <c r="I452" s="5" t="s">
        <v>50</v>
      </c>
      <c r="J452" s="1">
        <v>10</v>
      </c>
      <c r="K452" s="13" t="str">
        <f t="shared" si="525"/>
        <v>P</v>
      </c>
      <c r="L452" s="1">
        <v>12</v>
      </c>
      <c r="M452" s="13" t="str">
        <f t="shared" si="526"/>
        <v>P</v>
      </c>
      <c r="AB452" s="7" t="str">
        <f t="shared" si="517"/>
        <v>22</v>
      </c>
      <c r="AC452" s="13" t="str">
        <f t="shared" si="518"/>
        <v>D</v>
      </c>
      <c r="AD452" s="13" t="str">
        <f t="shared" si="529"/>
        <v>207</v>
      </c>
      <c r="AE452" s="1">
        <v>550</v>
      </c>
      <c r="AF452" s="15">
        <f t="shared" si="527"/>
        <v>37.636363636363633</v>
      </c>
      <c r="AG452" s="13" t="str">
        <f t="shared" si="527"/>
        <v>ATKT</v>
      </c>
      <c r="AI452" s="1">
        <v>22</v>
      </c>
      <c r="AJ452" s="15">
        <f t="shared" si="530"/>
        <v>14</v>
      </c>
      <c r="AK452" s="16">
        <f t="shared" si="530"/>
        <v>58</v>
      </c>
      <c r="AL452" s="7">
        <f t="shared" si="530"/>
        <v>0</v>
      </c>
      <c r="AR452" s="7" t="str">
        <f t="shared" si="519"/>
        <v>F</v>
      </c>
      <c r="AS452" s="8">
        <f t="shared" si="520"/>
        <v>4</v>
      </c>
      <c r="AT452" s="8">
        <f t="shared" si="521"/>
        <v>8</v>
      </c>
      <c r="AU452" s="13">
        <f>IF(OR(UPPER(TRIM(AC452))="AB", AC452=901, AC452="901"), 0, IF(ISNUMBER(MATCH(UPPER(TRIM(AC452)), {"A+","A","B+","B","C","D","P"}, 0)), 2, 0))</f>
        <v>2</v>
      </c>
      <c r="AV452" s="13">
        <f t="shared" si="522"/>
        <v>22</v>
      </c>
      <c r="AW452">
        <f t="shared" si="523"/>
        <v>22</v>
      </c>
      <c r="AX452" s="1">
        <f t="shared" si="524"/>
        <v>44</v>
      </c>
      <c r="AY452" s="13">
        <f t="shared" si="528"/>
        <v>207</v>
      </c>
    </row>
    <row r="453" spans="1:51">
      <c r="A453" s="7">
        <v>5259846</v>
      </c>
      <c r="B453" s="7"/>
      <c r="C453" s="33" t="s">
        <v>102</v>
      </c>
      <c r="D453" s="1" t="s">
        <v>47</v>
      </c>
      <c r="E453" s="3">
        <v>1</v>
      </c>
      <c r="F453" s="1" t="s">
        <v>48</v>
      </c>
      <c r="G453" s="1">
        <v>2511515</v>
      </c>
      <c r="H453" s="2" t="s">
        <v>57</v>
      </c>
      <c r="I453" s="5" t="s">
        <v>50</v>
      </c>
      <c r="J453" s="1">
        <v>10</v>
      </c>
      <c r="K453" s="13" t="str">
        <f t="shared" si="525"/>
        <v>P</v>
      </c>
      <c r="L453" s="1">
        <v>12</v>
      </c>
      <c r="M453" s="13" t="str">
        <f t="shared" si="526"/>
        <v>P</v>
      </c>
      <c r="AB453" s="7" t="str">
        <f t="shared" si="517"/>
        <v>22</v>
      </c>
      <c r="AC453" s="13" t="str">
        <f t="shared" si="518"/>
        <v>D</v>
      </c>
      <c r="AD453" s="13" t="str">
        <f t="shared" si="529"/>
        <v>207</v>
      </c>
      <c r="AE453" s="1">
        <v>550</v>
      </c>
      <c r="AF453" s="15">
        <f t="shared" si="527"/>
        <v>37.636363636363633</v>
      </c>
      <c r="AG453" s="13" t="str">
        <f t="shared" si="527"/>
        <v>ATKT</v>
      </c>
      <c r="AI453" s="1">
        <v>22</v>
      </c>
      <c r="AJ453" s="15">
        <f t="shared" si="530"/>
        <v>14</v>
      </c>
      <c r="AK453" s="16">
        <f t="shared" si="530"/>
        <v>58</v>
      </c>
      <c r="AL453" s="7">
        <f t="shared" si="530"/>
        <v>0</v>
      </c>
      <c r="AR453" s="7" t="str">
        <f t="shared" si="519"/>
        <v>F</v>
      </c>
      <c r="AS453" s="8">
        <f t="shared" si="520"/>
        <v>4</v>
      </c>
      <c r="AT453" s="8">
        <f t="shared" si="521"/>
        <v>8</v>
      </c>
      <c r="AU453" s="13">
        <f>IF(OR(UPPER(TRIM(AC453))="AB", AC453=901, AC453="901"), 0, IF(ISNUMBER(MATCH(UPPER(TRIM(AC453)), {"A+","A","B+","B","C","D","P"}, 0)), 2, 0))</f>
        <v>2</v>
      </c>
      <c r="AV453" s="13">
        <f t="shared" si="522"/>
        <v>22</v>
      </c>
      <c r="AW453">
        <f t="shared" si="523"/>
        <v>22</v>
      </c>
      <c r="AX453" s="1">
        <f t="shared" si="524"/>
        <v>44</v>
      </c>
      <c r="AY453" s="13">
        <f t="shared" si="528"/>
        <v>207</v>
      </c>
    </row>
    <row r="454" spans="1:51" ht="28.8">
      <c r="A454" s="7">
        <v>5259846</v>
      </c>
      <c r="B454" s="7"/>
      <c r="C454" s="33" t="s">
        <v>102</v>
      </c>
      <c r="D454" s="1" t="s">
        <v>47</v>
      </c>
      <c r="E454" s="3">
        <v>1</v>
      </c>
      <c r="F454" s="1" t="s">
        <v>48</v>
      </c>
      <c r="G454" s="1">
        <v>2521615</v>
      </c>
      <c r="H454" s="30" t="s">
        <v>96</v>
      </c>
      <c r="I454" s="5" t="s">
        <v>50</v>
      </c>
      <c r="J454" s="1">
        <v>8</v>
      </c>
      <c r="K454" s="13" t="str">
        <f t="shared" si="525"/>
        <v>P</v>
      </c>
      <c r="L454" s="1">
        <v>12</v>
      </c>
      <c r="M454" s="13" t="str">
        <f t="shared" si="526"/>
        <v>P</v>
      </c>
      <c r="AB454" s="7" t="str">
        <f t="shared" si="517"/>
        <v>20</v>
      </c>
      <c r="AC454" s="13" t="str">
        <f t="shared" si="518"/>
        <v>D</v>
      </c>
      <c r="AD454" s="13" t="str">
        <f t="shared" si="529"/>
        <v>207</v>
      </c>
      <c r="AE454" s="1">
        <v>550</v>
      </c>
      <c r="AF454" s="15">
        <f t="shared" si="527"/>
        <v>37.636363636363633</v>
      </c>
      <c r="AG454" s="13" t="str">
        <f t="shared" si="527"/>
        <v>ATKT</v>
      </c>
      <c r="AI454" s="1">
        <v>22</v>
      </c>
      <c r="AJ454" s="15">
        <f t="shared" si="530"/>
        <v>14</v>
      </c>
      <c r="AK454" s="16">
        <f t="shared" si="530"/>
        <v>58</v>
      </c>
      <c r="AL454" s="7">
        <f t="shared" si="530"/>
        <v>0</v>
      </c>
      <c r="AR454" s="7" t="str">
        <f t="shared" si="519"/>
        <v>F</v>
      </c>
      <c r="AS454" s="8">
        <f t="shared" si="520"/>
        <v>4</v>
      </c>
      <c r="AT454" s="8">
        <f t="shared" si="521"/>
        <v>8</v>
      </c>
      <c r="AU454" s="13">
        <f>IF(OR(UPPER(TRIM(AC454))="AB", AC454=901, AC454="901"), 0, IF(ISNUMBER(MATCH(UPPER(TRIM(AC454)), {"A+","A","B+","B","C","D","P"}, 0)), 2, 0))</f>
        <v>2</v>
      </c>
      <c r="AV454" s="13">
        <f t="shared" si="522"/>
        <v>20</v>
      </c>
      <c r="AW454">
        <f t="shared" si="523"/>
        <v>20</v>
      </c>
      <c r="AX454" s="1">
        <f t="shared" si="524"/>
        <v>40</v>
      </c>
      <c r="AY454" s="13">
        <f t="shared" si="528"/>
        <v>207</v>
      </c>
    </row>
    <row r="455" spans="1:51">
      <c r="A455" s="7">
        <v>5259846</v>
      </c>
      <c r="B455" s="7"/>
      <c r="C455" s="33" t="s">
        <v>102</v>
      </c>
      <c r="D455" s="1" t="s">
        <v>47</v>
      </c>
      <c r="E455" s="3">
        <v>1</v>
      </c>
      <c r="F455" s="1" t="s">
        <v>48</v>
      </c>
      <c r="G455" s="1">
        <v>2531511</v>
      </c>
      <c r="H455" s="2" t="s">
        <v>59</v>
      </c>
      <c r="I455" s="5" t="s">
        <v>50</v>
      </c>
      <c r="J455" s="1">
        <v>14</v>
      </c>
      <c r="K455" s="13" t="str">
        <f t="shared" si="525"/>
        <v>P</v>
      </c>
      <c r="L455" s="1">
        <v>12</v>
      </c>
      <c r="M455" s="13" t="str">
        <f t="shared" si="526"/>
        <v>P</v>
      </c>
      <c r="AB455" s="7" t="str">
        <f t="shared" si="517"/>
        <v>26</v>
      </c>
      <c r="AC455" s="13" t="str">
        <f t="shared" si="518"/>
        <v>C</v>
      </c>
      <c r="AD455" s="13" t="str">
        <f t="shared" si="529"/>
        <v>207</v>
      </c>
      <c r="AE455" s="1">
        <v>550</v>
      </c>
      <c r="AF455" s="15">
        <f t="shared" si="527"/>
        <v>37.636363636363633</v>
      </c>
      <c r="AG455" s="13" t="str">
        <f t="shared" si="527"/>
        <v>ATKT</v>
      </c>
      <c r="AI455" s="1">
        <v>22</v>
      </c>
      <c r="AJ455" s="15">
        <f t="shared" si="530"/>
        <v>14</v>
      </c>
      <c r="AK455" s="16">
        <f t="shared" si="530"/>
        <v>58</v>
      </c>
      <c r="AL455" s="7">
        <f t="shared" si="530"/>
        <v>0</v>
      </c>
      <c r="AR455" s="7" t="str">
        <f t="shared" si="519"/>
        <v>F</v>
      </c>
      <c r="AS455" s="8">
        <f t="shared" si="520"/>
        <v>5</v>
      </c>
      <c r="AT455" s="8">
        <f t="shared" si="521"/>
        <v>10</v>
      </c>
      <c r="AU455" s="13">
        <f>IF(OR(UPPER(TRIM(AC455))="AB", AC455=901, AC455="901"), 0, IF(ISNUMBER(MATCH(UPPER(TRIM(AC455)), {"A+","A","B+","B","C","D","P"}, 0)), 2, 0))</f>
        <v>2</v>
      </c>
      <c r="AV455" s="13">
        <f t="shared" si="522"/>
        <v>26</v>
      </c>
      <c r="AW455">
        <f t="shared" si="523"/>
        <v>26</v>
      </c>
      <c r="AX455" s="1">
        <f t="shared" si="524"/>
        <v>52</v>
      </c>
      <c r="AY455" s="13">
        <f t="shared" si="528"/>
        <v>207</v>
      </c>
    </row>
    <row r="456" spans="1:51">
      <c r="A456" s="7">
        <v>5259846</v>
      </c>
      <c r="B456" s="7"/>
      <c r="C456" s="33" t="s">
        <v>102</v>
      </c>
      <c r="D456" s="1" t="s">
        <v>47</v>
      </c>
      <c r="E456" s="3">
        <v>1</v>
      </c>
      <c r="F456" s="1" t="s">
        <v>48</v>
      </c>
      <c r="G456" s="1">
        <v>2541515</v>
      </c>
      <c r="H456" s="2" t="s">
        <v>60</v>
      </c>
      <c r="I456" s="5" t="s">
        <v>50</v>
      </c>
      <c r="J456" s="1">
        <v>12</v>
      </c>
      <c r="K456" s="13" t="str">
        <f t="shared" si="525"/>
        <v>P</v>
      </c>
      <c r="L456" s="6">
        <v>0</v>
      </c>
      <c r="M456" s="13" t="str">
        <f t="shared" si="526"/>
        <v>F</v>
      </c>
      <c r="AB456" s="7" t="str">
        <f t="shared" si="517"/>
        <v>12</v>
      </c>
      <c r="AC456" s="13" t="str">
        <f t="shared" si="518"/>
        <v>F</v>
      </c>
      <c r="AD456" s="13" t="str">
        <f t="shared" si="529"/>
        <v>207</v>
      </c>
      <c r="AE456" s="1">
        <v>550</v>
      </c>
      <c r="AF456" s="15">
        <f t="shared" si="527"/>
        <v>37.636363636363633</v>
      </c>
      <c r="AG456" s="13" t="str">
        <f t="shared" si="527"/>
        <v>ATKT</v>
      </c>
      <c r="AI456" s="1">
        <v>22</v>
      </c>
      <c r="AJ456" s="15">
        <f t="shared" si="530"/>
        <v>14</v>
      </c>
      <c r="AK456" s="16">
        <f t="shared" si="530"/>
        <v>58</v>
      </c>
      <c r="AL456" s="7">
        <f t="shared" si="530"/>
        <v>0</v>
      </c>
      <c r="AR456" s="7" t="str">
        <f t="shared" si="519"/>
        <v>F</v>
      </c>
      <c r="AS456" s="8">
        <f t="shared" si="520"/>
        <v>0</v>
      </c>
      <c r="AT456" s="8">
        <f t="shared" si="521"/>
        <v>0</v>
      </c>
      <c r="AU456" s="13">
        <f>IF(OR(UPPER(TRIM(AC456))="AB", AC456=901, AC456="901"), 0, IF(ISNUMBER(MATCH(UPPER(TRIM(AC456)), {"A+","A","B+","B","C","D","P"}, 0)), 2, 0))</f>
        <v>0</v>
      </c>
      <c r="AV456" s="13">
        <f t="shared" si="522"/>
        <v>12</v>
      </c>
      <c r="AW456">
        <f t="shared" si="523"/>
        <v>12</v>
      </c>
      <c r="AX456" s="1">
        <f t="shared" si="524"/>
        <v>24</v>
      </c>
      <c r="AY456" s="13">
        <f t="shared" si="528"/>
        <v>207</v>
      </c>
    </row>
    <row r="458" spans="1:51">
      <c r="A458" s="7">
        <v>5079160</v>
      </c>
      <c r="B458" s="7"/>
      <c r="C458" s="33" t="s">
        <v>103</v>
      </c>
      <c r="D458" s="1" t="s">
        <v>47</v>
      </c>
      <c r="E458" s="3">
        <v>1</v>
      </c>
      <c r="F458" s="1" t="s">
        <v>48</v>
      </c>
      <c r="G458" s="1">
        <v>1011312</v>
      </c>
      <c r="H458" s="2" t="s">
        <v>49</v>
      </c>
      <c r="I458" s="5" t="s">
        <v>50</v>
      </c>
      <c r="J458" s="6">
        <v>901</v>
      </c>
      <c r="K458" s="13" t="str">
        <f>IF(OR(UPPER(TRIM(J458))="AB",J458=901,J458="901"),"F",IF(J458&gt;=8,"P","F"))</f>
        <v>F</v>
      </c>
      <c r="L458" s="1">
        <v>901</v>
      </c>
      <c r="M458" s="13" t="str">
        <f>IF(OR(UPPER(TRIM(L458))="AB",L458=901,L458="901"),"F",IF(L458&gt;=8,"P","F"))</f>
        <v>F</v>
      </c>
      <c r="N458" s="13"/>
      <c r="O458" s="13"/>
      <c r="P458" s="13"/>
      <c r="Q458" s="13"/>
      <c r="R458" s="13"/>
      <c r="S458" s="13"/>
      <c r="T458" s="13"/>
      <c r="U458" s="13"/>
      <c r="V458" s="13"/>
      <c r="W458" s="13"/>
      <c r="X458" s="13"/>
      <c r="Y458" s="13"/>
      <c r="Z458" s="13"/>
      <c r="AB458" s="7" t="str">
        <f t="shared" ref="AB458:AB468" si="531">AV458 &amp; IF(AA458&lt;&gt;"", " @ " &amp; AA458, "")</f>
        <v>0</v>
      </c>
      <c r="AC458" s="13" t="str">
        <f t="shared" ref="AC458:AC468" si="532">IF(AX458&gt;=90,"O",
IF(AX458&gt;=80,"A+",
IF(AX458&gt;=70,"A",
IF(AX458&gt;=60,"B+",
IF(AX458&gt;=55,"B",
IF(AX458&gt;=50,"C",
IF(AX458&gt;=40,"D","F")))))))</f>
        <v>F</v>
      </c>
      <c r="AD458" s="13" t="str">
        <f>SUM(AV458:AV468) &amp; IF(SUM(AA458:AA468)&gt;0, " @ " &amp; SUM(AA458:AA468), "")</f>
        <v>231</v>
      </c>
      <c r="AE458" s="1">
        <v>550</v>
      </c>
      <c r="AF458" s="15">
        <f>AY458/AE458*100</f>
        <v>42</v>
      </c>
      <c r="AG458" s="13" t="str" cm="1">
        <f t="array" ref="AG458">IF(
  SUMPRODUCT(--(IFERROR(VALUE(J458:J468),9999)&lt;8))
  + SUMPRODUCT(--(IFERROR(VALUE(L458:L468),9999)&lt;12))
  + COUNTIF(J458:J468,"AB") + COUNTIF(L458:L468,"AB")
  + COUNTIF(J458:J468,901) + COUNTIF(L458:L468,901) &gt; 0,
  "ATKT",
  "PASS"
)</f>
        <v>ATKT</v>
      </c>
      <c r="AI458" s="1">
        <v>22</v>
      </c>
      <c r="AJ458" s="15">
        <f>SUM(AU458:AU468)</f>
        <v>12</v>
      </c>
      <c r="AK458" s="16">
        <f>SUM(AT458:AT468)</f>
        <v>68</v>
      </c>
      <c r="AL458" s="7">
        <f>IF(UPPER(TRIM(AG458))="ATKT",0,ROUND( (SUM(AT458:AT468) /22), 2))</f>
        <v>0</v>
      </c>
      <c r="AR458" s="7" t="str">
        <f t="shared" ref="AR458:AR468" si="533">IF(AL458&gt;=9,"O", IF(AL458&gt;=8,"A+", IF(AL458&gt;=7,"A", IF(AL458&gt;=6,"B+", IF(AL458&gt;=5.5,"B", IF(AL458&gt;=5,"C", IF(AL458&gt;=4,"D","F")))))))</f>
        <v>F</v>
      </c>
      <c r="AS458" s="8">
        <f t="shared" ref="AS458:AS468" si="534">IF(AX458&gt;=90,10,
IF(AX458&gt;=80,9,
IF(AX458&gt;=70,8,
IF(AX458&gt;=60,7,
IF(AX458&gt;=55,6,
IF(AX458&gt;=50,5,
IF(AX458&gt;=40,4,0)))))))</f>
        <v>0</v>
      </c>
      <c r="AT458" s="8">
        <f t="shared" ref="AT458:AT468" si="535">AS458*I458</f>
        <v>0</v>
      </c>
      <c r="AU458" s="13">
        <f>IF(OR(UPPER(TRIM(AC458))="AB", AC458=901, AC458="901"), 0, IF(ISNUMBER(MATCH(UPPER(TRIM(AC458)), {"A+","A","B+","B","C","D","P"}, 0)), 2, 0))</f>
        <v>0</v>
      </c>
      <c r="AV458" s="13">
        <f t="shared" ref="AV458:AV468" si="536">SUM(
IF(OR(UPPER(TRIM(J458))="AB",J458=901,J458="901"),0,IFERROR(VALUE(J458),0)),
IF(OR(UPPER(TRIM(L458))="AB",L458=901,L458="901"),0,IFERROR(VALUE(L458),0)),
IF(OR(UPPER(TRIM(N458))="AB",N458=901,N458="901"),0,IFERROR(VALUE(N458),0))
)</f>
        <v>0</v>
      </c>
      <c r="AW458">
        <f t="shared" ref="AW458:AW468" si="537">AA458+AV458</f>
        <v>0</v>
      </c>
      <c r="AX458" s="1">
        <f t="shared" ref="AX458:AX468" si="538">(AW458 / 50) * 100</f>
        <v>0</v>
      </c>
      <c r="AY458" s="13">
        <f>SUM(AW458:AW468)</f>
        <v>231</v>
      </c>
    </row>
    <row r="459" spans="1:51">
      <c r="A459" s="7">
        <v>5079160</v>
      </c>
      <c r="B459" s="7"/>
      <c r="C459" s="33" t="s">
        <v>103</v>
      </c>
      <c r="D459" s="1" t="s">
        <v>47</v>
      </c>
      <c r="E459" s="3">
        <v>1</v>
      </c>
      <c r="F459" s="1" t="s">
        <v>48</v>
      </c>
      <c r="G459" s="1">
        <v>1171312</v>
      </c>
      <c r="H459" s="2" t="s">
        <v>51</v>
      </c>
      <c r="I459" s="5" t="s">
        <v>50</v>
      </c>
      <c r="J459" s="1">
        <v>12</v>
      </c>
      <c r="K459" s="13" t="str">
        <f t="shared" ref="K459:K468" si="539">IF(OR(UPPER(TRIM(J459))="AB",J459=901,J459="901"),"F",IF(J459&gt;=8,"P","F"))</f>
        <v>P</v>
      </c>
      <c r="L459" s="1">
        <v>12</v>
      </c>
      <c r="M459" s="13" t="str">
        <f t="shared" ref="M459:M468" si="540">IF(OR(UPPER(TRIM(L459))="AB",L459=901,L459="901"),"F",IF(L459&gt;=8,"P","F"))</f>
        <v>P</v>
      </c>
      <c r="AB459" s="7" t="str">
        <f t="shared" si="531"/>
        <v>24</v>
      </c>
      <c r="AC459" s="13" t="str">
        <f t="shared" si="532"/>
        <v>D</v>
      </c>
      <c r="AD459" s="13" t="str">
        <f>AD458</f>
        <v>231</v>
      </c>
      <c r="AE459" s="1">
        <v>550</v>
      </c>
      <c r="AF459" s="15">
        <f t="shared" ref="AF459:AG468" si="541">AF458</f>
        <v>42</v>
      </c>
      <c r="AG459" s="13" t="str">
        <f t="shared" si="541"/>
        <v>ATKT</v>
      </c>
      <c r="AI459" s="1">
        <v>22</v>
      </c>
      <c r="AJ459" s="15">
        <f>AJ458</f>
        <v>12</v>
      </c>
      <c r="AK459" s="16">
        <f>AK458</f>
        <v>68</v>
      </c>
      <c r="AL459" s="7">
        <f>AL458</f>
        <v>0</v>
      </c>
      <c r="AR459" s="7" t="str">
        <f t="shared" si="533"/>
        <v>F</v>
      </c>
      <c r="AS459" s="8">
        <f t="shared" si="534"/>
        <v>4</v>
      </c>
      <c r="AT459" s="8">
        <f t="shared" si="535"/>
        <v>8</v>
      </c>
      <c r="AU459" s="13">
        <f>IF(OR(UPPER(TRIM(AC459))="AB", AC459=901, AC459="901"), 0, IF(ISNUMBER(MATCH(UPPER(TRIM(AC459)), {"A+","A","B+","B","C","D","P"}, 0)), 2, 0))</f>
        <v>2</v>
      </c>
      <c r="AV459" s="13">
        <f t="shared" si="536"/>
        <v>24</v>
      </c>
      <c r="AW459">
        <f t="shared" si="537"/>
        <v>24</v>
      </c>
      <c r="AX459" s="1">
        <f t="shared" si="538"/>
        <v>48</v>
      </c>
      <c r="AY459" s="13">
        <f t="shared" ref="AY459:AY468" si="542">AY458</f>
        <v>231</v>
      </c>
    </row>
    <row r="460" spans="1:51">
      <c r="A460" s="7">
        <v>5079160</v>
      </c>
      <c r="B460" s="7"/>
      <c r="C460" s="33" t="s">
        <v>103</v>
      </c>
      <c r="D460" s="1" t="s">
        <v>47</v>
      </c>
      <c r="E460" s="3">
        <v>1</v>
      </c>
      <c r="F460" s="1" t="s">
        <v>48</v>
      </c>
      <c r="G460" s="1">
        <v>1461111</v>
      </c>
      <c r="H460" s="2" t="s">
        <v>52</v>
      </c>
      <c r="I460" s="5" t="s">
        <v>50</v>
      </c>
      <c r="J460" s="1">
        <v>12</v>
      </c>
      <c r="K460" s="13" t="str">
        <f t="shared" si="539"/>
        <v>P</v>
      </c>
      <c r="L460" s="1">
        <v>2</v>
      </c>
      <c r="M460" s="13" t="str">
        <f t="shared" si="540"/>
        <v>F</v>
      </c>
      <c r="AB460" s="7" t="str">
        <f t="shared" si="531"/>
        <v>14</v>
      </c>
      <c r="AC460" s="13" t="str">
        <f t="shared" si="532"/>
        <v>F</v>
      </c>
      <c r="AD460" s="13" t="str">
        <f t="shared" ref="AD460:AD468" si="543">AD459</f>
        <v>231</v>
      </c>
      <c r="AE460" s="1">
        <v>550</v>
      </c>
      <c r="AF460" s="15">
        <f t="shared" si="541"/>
        <v>42</v>
      </c>
      <c r="AG460" s="13" t="str">
        <f t="shared" si="541"/>
        <v>ATKT</v>
      </c>
      <c r="AI460" s="1">
        <v>22</v>
      </c>
      <c r="AJ460" s="15">
        <f t="shared" ref="AJ460:AL468" si="544">AJ459</f>
        <v>12</v>
      </c>
      <c r="AK460" s="16">
        <f t="shared" si="544"/>
        <v>68</v>
      </c>
      <c r="AL460" s="7">
        <f t="shared" si="544"/>
        <v>0</v>
      </c>
      <c r="AR460" s="7" t="str">
        <f t="shared" si="533"/>
        <v>F</v>
      </c>
      <c r="AS460" s="8">
        <f t="shared" si="534"/>
        <v>0</v>
      </c>
      <c r="AT460" s="8">
        <f t="shared" si="535"/>
        <v>0</v>
      </c>
      <c r="AU460" s="13">
        <f>IF(OR(UPPER(TRIM(AC460))="AB", AC460=901, AC460="901"), 0, IF(ISNUMBER(MATCH(UPPER(TRIM(AC460)), {"A+","A","B+","B","C","D","P"}, 0)), 2, 0))</f>
        <v>0</v>
      </c>
      <c r="AV460" s="13">
        <f t="shared" si="536"/>
        <v>14</v>
      </c>
      <c r="AW460">
        <f t="shared" si="537"/>
        <v>14</v>
      </c>
      <c r="AX460" s="1">
        <f t="shared" si="538"/>
        <v>28.000000000000004</v>
      </c>
      <c r="AY460" s="13">
        <f t="shared" si="542"/>
        <v>231</v>
      </c>
    </row>
    <row r="461" spans="1:51">
      <c r="A461" s="7">
        <v>5079160</v>
      </c>
      <c r="B461" s="7"/>
      <c r="C461" s="33" t="s">
        <v>103</v>
      </c>
      <c r="D461" s="1" t="s">
        <v>47</v>
      </c>
      <c r="E461" s="3">
        <v>1</v>
      </c>
      <c r="F461" s="1" t="s">
        <v>48</v>
      </c>
      <c r="G461" s="1">
        <v>1461112</v>
      </c>
      <c r="H461" s="2" t="s">
        <v>53</v>
      </c>
      <c r="I461" s="5" t="s">
        <v>50</v>
      </c>
      <c r="J461" s="1">
        <v>12</v>
      </c>
      <c r="K461" s="13" t="str">
        <f t="shared" si="539"/>
        <v>P</v>
      </c>
      <c r="L461" s="1">
        <v>2</v>
      </c>
      <c r="M461" s="13" t="str">
        <f t="shared" si="540"/>
        <v>F</v>
      </c>
      <c r="AB461" s="7" t="str">
        <f t="shared" si="531"/>
        <v>14</v>
      </c>
      <c r="AC461" s="13" t="str">
        <f t="shared" si="532"/>
        <v>F</v>
      </c>
      <c r="AD461" s="13" t="str">
        <f t="shared" si="543"/>
        <v>231</v>
      </c>
      <c r="AE461" s="1">
        <v>550</v>
      </c>
      <c r="AF461" s="15">
        <f t="shared" si="541"/>
        <v>42</v>
      </c>
      <c r="AG461" s="13" t="str">
        <f t="shared" si="541"/>
        <v>ATKT</v>
      </c>
      <c r="AI461" s="1">
        <v>22</v>
      </c>
      <c r="AJ461" s="15">
        <f t="shared" si="544"/>
        <v>12</v>
      </c>
      <c r="AK461" s="16">
        <f t="shared" si="544"/>
        <v>68</v>
      </c>
      <c r="AL461" s="7">
        <f t="shared" si="544"/>
        <v>0</v>
      </c>
      <c r="AR461" s="7" t="str">
        <f t="shared" si="533"/>
        <v>F</v>
      </c>
      <c r="AS461" s="8">
        <f t="shared" si="534"/>
        <v>0</v>
      </c>
      <c r="AT461" s="8">
        <f t="shared" si="535"/>
        <v>0</v>
      </c>
      <c r="AU461" s="13">
        <f>IF(OR(UPPER(TRIM(AC461))="AB", AC461=901, AC461="901"), 0, IF(ISNUMBER(MATCH(UPPER(TRIM(AC461)), {"A+","A","B+","B","C","D","P"}, 0)), 2, 0))</f>
        <v>0</v>
      </c>
      <c r="AV461" s="13">
        <f t="shared" si="536"/>
        <v>14</v>
      </c>
      <c r="AW461">
        <f t="shared" si="537"/>
        <v>14</v>
      </c>
      <c r="AX461" s="1">
        <f t="shared" si="538"/>
        <v>28.000000000000004</v>
      </c>
      <c r="AY461" s="13">
        <f t="shared" si="542"/>
        <v>231</v>
      </c>
    </row>
    <row r="462" spans="1:51">
      <c r="A462" s="7">
        <v>5079160</v>
      </c>
      <c r="B462" s="7"/>
      <c r="C462" s="33" t="s">
        <v>103</v>
      </c>
      <c r="D462" s="1" t="s">
        <v>47</v>
      </c>
      <c r="E462" s="3">
        <v>1</v>
      </c>
      <c r="F462" s="1" t="s">
        <v>48</v>
      </c>
      <c r="G462" s="1">
        <v>1461113</v>
      </c>
      <c r="H462" s="2" t="s">
        <v>54</v>
      </c>
      <c r="I462" s="5" t="s">
        <v>50</v>
      </c>
      <c r="J462" s="1">
        <v>10</v>
      </c>
      <c r="K462" s="13" t="str">
        <f t="shared" si="539"/>
        <v>P</v>
      </c>
      <c r="L462" s="1">
        <v>21</v>
      </c>
      <c r="M462" s="13" t="str">
        <f t="shared" si="540"/>
        <v>P</v>
      </c>
      <c r="AB462" s="7" t="str">
        <f t="shared" si="531"/>
        <v>31</v>
      </c>
      <c r="AC462" s="13" t="str">
        <f t="shared" si="532"/>
        <v>B+</v>
      </c>
      <c r="AD462" s="13" t="str">
        <f t="shared" si="543"/>
        <v>231</v>
      </c>
      <c r="AE462" s="1">
        <v>550</v>
      </c>
      <c r="AF462" s="15">
        <f t="shared" si="541"/>
        <v>42</v>
      </c>
      <c r="AG462" s="13" t="str">
        <f t="shared" si="541"/>
        <v>ATKT</v>
      </c>
      <c r="AI462" s="1">
        <v>22</v>
      </c>
      <c r="AJ462" s="15">
        <f t="shared" si="544"/>
        <v>12</v>
      </c>
      <c r="AK462" s="16">
        <f t="shared" si="544"/>
        <v>68</v>
      </c>
      <c r="AL462" s="7">
        <f t="shared" si="544"/>
        <v>0</v>
      </c>
      <c r="AR462" s="7" t="str">
        <f t="shared" si="533"/>
        <v>F</v>
      </c>
      <c r="AS462" s="8">
        <f t="shared" si="534"/>
        <v>7</v>
      </c>
      <c r="AT462" s="8">
        <f t="shared" si="535"/>
        <v>14</v>
      </c>
      <c r="AU462" s="13">
        <f>IF(OR(UPPER(TRIM(AC462))="AB", AC462=901, AC462="901"), 0, IF(ISNUMBER(MATCH(UPPER(TRIM(AC462)), {"A+","A","B+","B","C","D","P"}, 0)), 2, 0))</f>
        <v>2</v>
      </c>
      <c r="AV462" s="13">
        <f t="shared" si="536"/>
        <v>31</v>
      </c>
      <c r="AW462">
        <f t="shared" si="537"/>
        <v>31</v>
      </c>
      <c r="AX462" s="1">
        <f t="shared" si="538"/>
        <v>62</v>
      </c>
      <c r="AY462" s="13">
        <f t="shared" si="542"/>
        <v>231</v>
      </c>
    </row>
    <row r="463" spans="1:51">
      <c r="A463" s="7">
        <v>5079160</v>
      </c>
      <c r="B463" s="7"/>
      <c r="C463" s="33" t="s">
        <v>103</v>
      </c>
      <c r="D463" s="1" t="s">
        <v>47</v>
      </c>
      <c r="E463" s="3">
        <v>1</v>
      </c>
      <c r="F463" s="1" t="s">
        <v>48</v>
      </c>
      <c r="G463" s="1">
        <v>1461411</v>
      </c>
      <c r="H463" s="2" t="s">
        <v>55</v>
      </c>
      <c r="I463" s="5" t="s">
        <v>50</v>
      </c>
      <c r="J463" s="1">
        <v>16</v>
      </c>
      <c r="K463" s="13" t="str">
        <f t="shared" si="539"/>
        <v>P</v>
      </c>
      <c r="L463" s="1">
        <v>17</v>
      </c>
      <c r="M463" s="13" t="str">
        <f t="shared" si="540"/>
        <v>P</v>
      </c>
      <c r="AB463" s="7" t="str">
        <f t="shared" si="531"/>
        <v>33</v>
      </c>
      <c r="AC463" s="13" t="str">
        <f t="shared" si="532"/>
        <v>B+</v>
      </c>
      <c r="AD463" s="13" t="str">
        <f t="shared" si="543"/>
        <v>231</v>
      </c>
      <c r="AE463" s="1">
        <v>550</v>
      </c>
      <c r="AF463" s="15">
        <f t="shared" si="541"/>
        <v>42</v>
      </c>
      <c r="AG463" s="13" t="str">
        <f t="shared" si="541"/>
        <v>ATKT</v>
      </c>
      <c r="AI463" s="1">
        <v>22</v>
      </c>
      <c r="AJ463" s="15">
        <f t="shared" si="544"/>
        <v>12</v>
      </c>
      <c r="AK463" s="16">
        <f t="shared" si="544"/>
        <v>68</v>
      </c>
      <c r="AL463" s="7">
        <f t="shared" si="544"/>
        <v>0</v>
      </c>
      <c r="AR463" s="7" t="str">
        <f t="shared" si="533"/>
        <v>F</v>
      </c>
      <c r="AS463" s="8">
        <f t="shared" si="534"/>
        <v>7</v>
      </c>
      <c r="AT463" s="8">
        <f t="shared" si="535"/>
        <v>14</v>
      </c>
      <c r="AU463" s="13">
        <f>IF(OR(UPPER(TRIM(AC463))="AB", AC463=901, AC463="901"), 0, IF(ISNUMBER(MATCH(UPPER(TRIM(AC463)), {"A+","A","B+","B","C","D","P"}, 0)), 2, 0))</f>
        <v>2</v>
      </c>
      <c r="AV463" s="13">
        <f t="shared" si="536"/>
        <v>33</v>
      </c>
      <c r="AW463">
        <f t="shared" si="537"/>
        <v>33</v>
      </c>
      <c r="AX463" s="1">
        <f t="shared" si="538"/>
        <v>66</v>
      </c>
      <c r="AY463" s="13">
        <f t="shared" si="542"/>
        <v>231</v>
      </c>
    </row>
    <row r="464" spans="1:51">
      <c r="A464" s="7">
        <v>5079160</v>
      </c>
      <c r="B464" s="7"/>
      <c r="C464" s="33" t="s">
        <v>103</v>
      </c>
      <c r="D464" s="1" t="s">
        <v>47</v>
      </c>
      <c r="E464" s="3">
        <v>1</v>
      </c>
      <c r="F464" s="1" t="s">
        <v>48</v>
      </c>
      <c r="G464" s="1">
        <v>1461412</v>
      </c>
      <c r="H464" s="2" t="s">
        <v>56</v>
      </c>
      <c r="I464" s="5" t="s">
        <v>50</v>
      </c>
      <c r="J464" s="1">
        <v>12</v>
      </c>
      <c r="K464" s="13" t="str">
        <f t="shared" si="539"/>
        <v>P</v>
      </c>
      <c r="L464" s="1">
        <v>18</v>
      </c>
      <c r="M464" s="13" t="str">
        <f t="shared" si="540"/>
        <v>P</v>
      </c>
      <c r="AB464" s="7" t="str">
        <f t="shared" si="531"/>
        <v>30</v>
      </c>
      <c r="AC464" s="13" t="str">
        <f t="shared" si="532"/>
        <v>B+</v>
      </c>
      <c r="AD464" s="13" t="str">
        <f t="shared" si="543"/>
        <v>231</v>
      </c>
      <c r="AE464" s="1">
        <v>550</v>
      </c>
      <c r="AF464" s="15">
        <f t="shared" si="541"/>
        <v>42</v>
      </c>
      <c r="AG464" s="13" t="str">
        <f t="shared" si="541"/>
        <v>ATKT</v>
      </c>
      <c r="AI464" s="1">
        <v>22</v>
      </c>
      <c r="AJ464" s="15">
        <f t="shared" si="544"/>
        <v>12</v>
      </c>
      <c r="AK464" s="16">
        <f t="shared" si="544"/>
        <v>68</v>
      </c>
      <c r="AL464" s="7">
        <f t="shared" si="544"/>
        <v>0</v>
      </c>
      <c r="AR464" s="7" t="str">
        <f t="shared" si="533"/>
        <v>F</v>
      </c>
      <c r="AS464" s="8">
        <f t="shared" si="534"/>
        <v>7</v>
      </c>
      <c r="AT464" s="8">
        <f t="shared" si="535"/>
        <v>14</v>
      </c>
      <c r="AU464" s="13">
        <f>IF(OR(UPPER(TRIM(AC464))="AB", AC464=901, AC464="901"), 0, IF(ISNUMBER(MATCH(UPPER(TRIM(AC464)), {"A+","A","B+","B","C","D","P"}, 0)), 2, 0))</f>
        <v>2</v>
      </c>
      <c r="AV464" s="13">
        <f t="shared" si="536"/>
        <v>30</v>
      </c>
      <c r="AW464">
        <f t="shared" si="537"/>
        <v>30</v>
      </c>
      <c r="AX464" s="1">
        <f t="shared" si="538"/>
        <v>60</v>
      </c>
      <c r="AY464" s="13">
        <f t="shared" si="542"/>
        <v>231</v>
      </c>
    </row>
    <row r="465" spans="1:51">
      <c r="A465" s="7">
        <v>5079160</v>
      </c>
      <c r="B465" s="7"/>
      <c r="C465" s="33" t="s">
        <v>103</v>
      </c>
      <c r="D465" s="1" t="s">
        <v>47</v>
      </c>
      <c r="E465" s="3">
        <v>1</v>
      </c>
      <c r="F465" s="1" t="s">
        <v>48</v>
      </c>
      <c r="G465" s="1">
        <v>2511515</v>
      </c>
      <c r="H465" s="2" t="s">
        <v>57</v>
      </c>
      <c r="I465" s="5" t="s">
        <v>50</v>
      </c>
      <c r="J465" s="1">
        <v>12</v>
      </c>
      <c r="K465" s="13" t="str">
        <f t="shared" si="539"/>
        <v>P</v>
      </c>
      <c r="L465" s="1">
        <v>12</v>
      </c>
      <c r="M465" s="13" t="str">
        <f t="shared" si="540"/>
        <v>P</v>
      </c>
      <c r="AB465" s="7" t="str">
        <f t="shared" si="531"/>
        <v>24</v>
      </c>
      <c r="AC465" s="13" t="str">
        <f t="shared" si="532"/>
        <v>D</v>
      </c>
      <c r="AD465" s="13" t="str">
        <f t="shared" si="543"/>
        <v>231</v>
      </c>
      <c r="AE465" s="1">
        <v>550</v>
      </c>
      <c r="AF465" s="15">
        <f t="shared" si="541"/>
        <v>42</v>
      </c>
      <c r="AG465" s="13" t="str">
        <f t="shared" si="541"/>
        <v>ATKT</v>
      </c>
      <c r="AI465" s="1">
        <v>22</v>
      </c>
      <c r="AJ465" s="15">
        <f t="shared" si="544"/>
        <v>12</v>
      </c>
      <c r="AK465" s="16">
        <f t="shared" si="544"/>
        <v>68</v>
      </c>
      <c r="AL465" s="7">
        <f t="shared" si="544"/>
        <v>0</v>
      </c>
      <c r="AR465" s="7" t="str">
        <f t="shared" si="533"/>
        <v>F</v>
      </c>
      <c r="AS465" s="8">
        <f t="shared" si="534"/>
        <v>4</v>
      </c>
      <c r="AT465" s="8">
        <f t="shared" si="535"/>
        <v>8</v>
      </c>
      <c r="AU465" s="13">
        <f>IF(OR(UPPER(TRIM(AC465))="AB", AC465=901, AC465="901"), 0, IF(ISNUMBER(MATCH(UPPER(TRIM(AC465)), {"A+","A","B+","B","C","D","P"}, 0)), 2, 0))</f>
        <v>2</v>
      </c>
      <c r="AV465" s="13">
        <f t="shared" si="536"/>
        <v>24</v>
      </c>
      <c r="AW465">
        <f t="shared" si="537"/>
        <v>24</v>
      </c>
      <c r="AX465" s="1">
        <f t="shared" si="538"/>
        <v>48</v>
      </c>
      <c r="AY465" s="13">
        <f t="shared" si="542"/>
        <v>231</v>
      </c>
    </row>
    <row r="466" spans="1:51" ht="28.8">
      <c r="A466" s="7">
        <v>5079160</v>
      </c>
      <c r="B466" s="7"/>
      <c r="C466" s="33" t="s">
        <v>103</v>
      </c>
      <c r="D466" s="1" t="s">
        <v>47</v>
      </c>
      <c r="E466" s="3">
        <v>1</v>
      </c>
      <c r="F466" s="1" t="s">
        <v>48</v>
      </c>
      <c r="G466" s="1">
        <v>2521615</v>
      </c>
      <c r="H466" s="30" t="s">
        <v>96</v>
      </c>
      <c r="I466" s="5" t="s">
        <v>50</v>
      </c>
      <c r="J466" s="1">
        <v>8</v>
      </c>
      <c r="K466" s="13" t="str">
        <f t="shared" si="539"/>
        <v>P</v>
      </c>
      <c r="L466" s="1">
        <v>8</v>
      </c>
      <c r="M466" s="13" t="str">
        <f t="shared" si="540"/>
        <v>P</v>
      </c>
      <c r="AB466" s="7" t="str">
        <f t="shared" si="531"/>
        <v>16</v>
      </c>
      <c r="AC466" s="13" t="str">
        <f t="shared" si="532"/>
        <v>F</v>
      </c>
      <c r="AD466" s="13" t="str">
        <f t="shared" si="543"/>
        <v>231</v>
      </c>
      <c r="AE466" s="1">
        <v>550</v>
      </c>
      <c r="AF466" s="15">
        <f t="shared" si="541"/>
        <v>42</v>
      </c>
      <c r="AG466" s="13" t="str">
        <f t="shared" si="541"/>
        <v>ATKT</v>
      </c>
      <c r="AI466" s="1">
        <v>22</v>
      </c>
      <c r="AJ466" s="15">
        <f t="shared" si="544"/>
        <v>12</v>
      </c>
      <c r="AK466" s="16">
        <f t="shared" si="544"/>
        <v>68</v>
      </c>
      <c r="AL466" s="7">
        <f t="shared" si="544"/>
        <v>0</v>
      </c>
      <c r="AR466" s="7" t="str">
        <f t="shared" si="533"/>
        <v>F</v>
      </c>
      <c r="AS466" s="8">
        <f t="shared" si="534"/>
        <v>0</v>
      </c>
      <c r="AT466" s="8">
        <f t="shared" si="535"/>
        <v>0</v>
      </c>
      <c r="AU466" s="13">
        <f>IF(OR(UPPER(TRIM(AC466))="AB", AC466=901, AC466="901"), 0, IF(ISNUMBER(MATCH(UPPER(TRIM(AC466)), {"A+","A","B+","B","C","D","P"}, 0)), 2, 0))</f>
        <v>0</v>
      </c>
      <c r="AV466" s="13">
        <f t="shared" si="536"/>
        <v>16</v>
      </c>
      <c r="AW466">
        <f t="shared" si="537"/>
        <v>16</v>
      </c>
      <c r="AX466" s="1">
        <f t="shared" si="538"/>
        <v>32</v>
      </c>
      <c r="AY466" s="13">
        <f t="shared" si="542"/>
        <v>231</v>
      </c>
    </row>
    <row r="467" spans="1:51">
      <c r="A467" s="7">
        <v>5079160</v>
      </c>
      <c r="B467" s="7"/>
      <c r="C467" s="33" t="s">
        <v>103</v>
      </c>
      <c r="D467" s="1" t="s">
        <v>47</v>
      </c>
      <c r="E467" s="3">
        <v>1</v>
      </c>
      <c r="F467" s="1" t="s">
        <v>48</v>
      </c>
      <c r="G467" s="1">
        <v>2531511</v>
      </c>
      <c r="H467" s="2" t="s">
        <v>59</v>
      </c>
      <c r="I467" s="5" t="s">
        <v>50</v>
      </c>
      <c r="J467" s="1">
        <v>14</v>
      </c>
      <c r="K467" s="13" t="str">
        <f t="shared" si="539"/>
        <v>P</v>
      </c>
      <c r="L467" s="1">
        <v>12</v>
      </c>
      <c r="M467" s="13" t="str">
        <f t="shared" si="540"/>
        <v>P</v>
      </c>
      <c r="AB467" s="7" t="str">
        <f t="shared" si="531"/>
        <v>26</v>
      </c>
      <c r="AC467" s="13" t="str">
        <f t="shared" si="532"/>
        <v>C</v>
      </c>
      <c r="AD467" s="13" t="str">
        <f t="shared" si="543"/>
        <v>231</v>
      </c>
      <c r="AE467" s="1">
        <v>550</v>
      </c>
      <c r="AF467" s="15">
        <f t="shared" si="541"/>
        <v>42</v>
      </c>
      <c r="AG467" s="13" t="str">
        <f t="shared" si="541"/>
        <v>ATKT</v>
      </c>
      <c r="AI467" s="1">
        <v>22</v>
      </c>
      <c r="AJ467" s="15">
        <f t="shared" si="544"/>
        <v>12</v>
      </c>
      <c r="AK467" s="16">
        <f t="shared" si="544"/>
        <v>68</v>
      </c>
      <c r="AL467" s="7">
        <f t="shared" si="544"/>
        <v>0</v>
      </c>
      <c r="AR467" s="7" t="str">
        <f t="shared" si="533"/>
        <v>F</v>
      </c>
      <c r="AS467" s="8">
        <f t="shared" si="534"/>
        <v>5</v>
      </c>
      <c r="AT467" s="8">
        <f t="shared" si="535"/>
        <v>10</v>
      </c>
      <c r="AU467" s="13">
        <f>IF(OR(UPPER(TRIM(AC467))="AB", AC467=901, AC467="901"), 0, IF(ISNUMBER(MATCH(UPPER(TRIM(AC467)), {"A+","A","B+","B","C","D","P"}, 0)), 2, 0))</f>
        <v>2</v>
      </c>
      <c r="AV467" s="13">
        <f t="shared" si="536"/>
        <v>26</v>
      </c>
      <c r="AW467">
        <f t="shared" si="537"/>
        <v>26</v>
      </c>
      <c r="AX467" s="1">
        <f t="shared" si="538"/>
        <v>52</v>
      </c>
      <c r="AY467" s="13">
        <f t="shared" si="542"/>
        <v>231</v>
      </c>
    </row>
    <row r="468" spans="1:51">
      <c r="A468" s="7">
        <v>5079160</v>
      </c>
      <c r="B468" s="7"/>
      <c r="C468" s="33" t="s">
        <v>103</v>
      </c>
      <c r="D468" s="1" t="s">
        <v>47</v>
      </c>
      <c r="E468" s="3">
        <v>1</v>
      </c>
      <c r="F468" s="1" t="s">
        <v>48</v>
      </c>
      <c r="G468" s="1">
        <v>2541515</v>
      </c>
      <c r="H468" s="2" t="s">
        <v>60</v>
      </c>
      <c r="I468" s="5" t="s">
        <v>50</v>
      </c>
      <c r="J468" s="1">
        <v>16</v>
      </c>
      <c r="K468" s="13" t="str">
        <f t="shared" si="539"/>
        <v>P</v>
      </c>
      <c r="L468" s="6">
        <v>3</v>
      </c>
      <c r="M468" s="13" t="str">
        <f t="shared" si="540"/>
        <v>F</v>
      </c>
      <c r="AB468" s="7" t="str">
        <f t="shared" si="531"/>
        <v>19</v>
      </c>
      <c r="AC468" s="13" t="str">
        <f t="shared" si="532"/>
        <v>F</v>
      </c>
      <c r="AD468" s="13" t="str">
        <f t="shared" si="543"/>
        <v>231</v>
      </c>
      <c r="AE468" s="1">
        <v>550</v>
      </c>
      <c r="AF468" s="15">
        <f t="shared" si="541"/>
        <v>42</v>
      </c>
      <c r="AG468" s="13" t="str">
        <f t="shared" si="541"/>
        <v>ATKT</v>
      </c>
      <c r="AI468" s="1">
        <v>22</v>
      </c>
      <c r="AJ468" s="15">
        <f t="shared" si="544"/>
        <v>12</v>
      </c>
      <c r="AK468" s="16">
        <f t="shared" si="544"/>
        <v>68</v>
      </c>
      <c r="AL468" s="7">
        <f t="shared" si="544"/>
        <v>0</v>
      </c>
      <c r="AR468" s="7" t="str">
        <f t="shared" si="533"/>
        <v>F</v>
      </c>
      <c r="AS468" s="8">
        <f t="shared" si="534"/>
        <v>0</v>
      </c>
      <c r="AT468" s="8">
        <f t="shared" si="535"/>
        <v>0</v>
      </c>
      <c r="AU468" s="13">
        <f>IF(OR(UPPER(TRIM(AC468))="AB", AC468=901, AC468="901"), 0, IF(ISNUMBER(MATCH(UPPER(TRIM(AC468)), {"A+","A","B+","B","C","D","P"}, 0)), 2, 0))</f>
        <v>0</v>
      </c>
      <c r="AV468" s="13">
        <f t="shared" si="536"/>
        <v>19</v>
      </c>
      <c r="AW468">
        <f t="shared" si="537"/>
        <v>19</v>
      </c>
      <c r="AX468" s="1">
        <f t="shared" si="538"/>
        <v>38</v>
      </c>
      <c r="AY468" s="13">
        <f t="shared" si="542"/>
        <v>231</v>
      </c>
    </row>
    <row r="470" spans="1:51">
      <c r="A470" s="7">
        <v>5078023</v>
      </c>
      <c r="B470" s="7"/>
      <c r="C470" s="33" t="s">
        <v>104</v>
      </c>
      <c r="D470" s="1" t="s">
        <v>47</v>
      </c>
      <c r="E470" s="3">
        <v>1</v>
      </c>
      <c r="F470" s="1" t="s">
        <v>48</v>
      </c>
      <c r="G470" s="1">
        <v>1011312</v>
      </c>
      <c r="H470" s="2" t="s">
        <v>49</v>
      </c>
      <c r="I470" s="5" t="s">
        <v>50</v>
      </c>
      <c r="J470" s="6">
        <v>901</v>
      </c>
      <c r="K470" s="13" t="str">
        <f>IF(OR(UPPER(TRIM(J470))="AB",J470=901,J470="901"),"F",IF(J470&gt;=8,"P","F"))</f>
        <v>F</v>
      </c>
      <c r="L470" s="1">
        <v>901</v>
      </c>
      <c r="M470" s="13" t="str">
        <f>IF(OR(UPPER(TRIM(L470))="AB",L470=901,L470="901"),"F",IF(L470&gt;=8,"P","F"))</f>
        <v>F</v>
      </c>
      <c r="N470" s="13"/>
      <c r="O470" s="13"/>
      <c r="P470" s="13"/>
      <c r="Q470" s="13"/>
      <c r="R470" s="13"/>
      <c r="S470" s="13"/>
      <c r="T470" s="13"/>
      <c r="U470" s="13"/>
      <c r="V470" s="13"/>
      <c r="W470" s="13"/>
      <c r="X470" s="13"/>
      <c r="Y470" s="13"/>
      <c r="Z470" s="13"/>
      <c r="AB470" s="7" t="str">
        <f t="shared" ref="AB470:AB480" si="545">AV470 &amp; IF(AA470&lt;&gt;"", " @ " &amp; AA470, "")</f>
        <v>0</v>
      </c>
      <c r="AC470" s="13" t="str">
        <f t="shared" ref="AC470:AC480" si="546">IF(AX470&gt;=90,"O",
IF(AX470&gt;=80,"A+",
IF(AX470&gt;=70,"A",
IF(AX470&gt;=60,"B+",
IF(AX470&gt;=55,"B",
IF(AX470&gt;=50,"C",
IF(AX470&gt;=40,"D","F")))))))</f>
        <v>F</v>
      </c>
      <c r="AD470" s="13" t="str">
        <f>SUM(AV470:AV480) &amp; IF(SUM(AA470:AA480)&gt;0, " @ " &amp; SUM(AA470:AA480), "")</f>
        <v>48</v>
      </c>
      <c r="AE470" s="1">
        <v>550</v>
      </c>
      <c r="AF470" s="15">
        <f>AY470/AE470*100</f>
        <v>8.7272727272727284</v>
      </c>
      <c r="AG470" s="13" t="str" cm="1">
        <f t="array" ref="AG470">IF(
  SUMPRODUCT(--(IFERROR(VALUE(J470:J480),9999)&lt;8))
  + SUMPRODUCT(--(IFERROR(VALUE(L470:L480),9999)&lt;12))
  + COUNTIF(J470:J480,"AB") + COUNTIF(L470:L480,"AB")
  + COUNTIF(J470:J480,901) + COUNTIF(L470:L480,901) &gt; 0,
  "ATKT",
  "PASS"
)</f>
        <v>ATKT</v>
      </c>
      <c r="AI470" s="1">
        <v>22</v>
      </c>
      <c r="AJ470" s="15">
        <f>SUM(AU470:AU480)</f>
        <v>0</v>
      </c>
      <c r="AK470" s="16">
        <f>SUM(AT470:AT480)</f>
        <v>0</v>
      </c>
      <c r="AL470" s="7">
        <f>IF(UPPER(TRIM(AG470))="ATKT",0,ROUND( (SUM(AT470:AT480) /22), 2))</f>
        <v>0</v>
      </c>
      <c r="AR470" s="7" t="str">
        <f t="shared" ref="AR470:AR480" si="547">IF(AL470&gt;=9,"O", IF(AL470&gt;=8,"A+", IF(AL470&gt;=7,"A", IF(AL470&gt;=6,"B+", IF(AL470&gt;=5.5,"B", IF(AL470&gt;=5,"C", IF(AL470&gt;=4,"D","F")))))))</f>
        <v>F</v>
      </c>
      <c r="AS470" s="8">
        <f t="shared" ref="AS470:AS480" si="548">IF(AX470&gt;=90,10,
IF(AX470&gt;=80,9,
IF(AX470&gt;=70,8,
IF(AX470&gt;=60,7,
IF(AX470&gt;=55,6,
IF(AX470&gt;=50,5,
IF(AX470&gt;=40,4,0)))))))</f>
        <v>0</v>
      </c>
      <c r="AT470" s="8">
        <f t="shared" ref="AT470:AT480" si="549">AS470*I470</f>
        <v>0</v>
      </c>
      <c r="AU470" s="13">
        <f>IF(OR(UPPER(TRIM(AC470))="AB", AC470=901, AC470="901"), 0, IF(ISNUMBER(MATCH(UPPER(TRIM(AC470)), {"A+","A","B+","B","C","D","P"}, 0)), 2, 0))</f>
        <v>0</v>
      </c>
      <c r="AV470" s="13">
        <f t="shared" ref="AV470:AV480" si="550">SUM(
IF(OR(UPPER(TRIM(J470))="AB",J470=901,J470="901"),0,IFERROR(VALUE(J470),0)),
IF(OR(UPPER(TRIM(L470))="AB",L470=901,L470="901"),0,IFERROR(VALUE(L470),0)),
IF(OR(UPPER(TRIM(N470))="AB",N470=901,N470="901"),0,IFERROR(VALUE(N470),0))
)</f>
        <v>0</v>
      </c>
      <c r="AW470">
        <f t="shared" ref="AW470:AW480" si="551">AA470+AV470</f>
        <v>0</v>
      </c>
      <c r="AX470" s="1">
        <f t="shared" ref="AX470:AX480" si="552">(AW470 / 50) * 100</f>
        <v>0</v>
      </c>
      <c r="AY470" s="13">
        <f>SUM(AW470:AW480)</f>
        <v>48</v>
      </c>
    </row>
    <row r="471" spans="1:51">
      <c r="A471" s="7">
        <v>5078023</v>
      </c>
      <c r="B471" s="7"/>
      <c r="C471" s="33" t="s">
        <v>104</v>
      </c>
      <c r="D471" s="1" t="s">
        <v>47</v>
      </c>
      <c r="E471" s="3">
        <v>1</v>
      </c>
      <c r="F471" s="1" t="s">
        <v>48</v>
      </c>
      <c r="G471" s="1">
        <v>1171312</v>
      </c>
      <c r="H471" s="2" t="s">
        <v>51</v>
      </c>
      <c r="I471" s="5" t="s">
        <v>50</v>
      </c>
      <c r="J471" s="1">
        <v>12</v>
      </c>
      <c r="K471" s="13" t="str">
        <f t="shared" ref="K471:K480" si="553">IF(OR(UPPER(TRIM(J471))="AB",J471=901,J471="901"),"F",IF(J471&gt;=8,"P","F"))</f>
        <v>P</v>
      </c>
      <c r="L471" s="1">
        <v>901</v>
      </c>
      <c r="M471" s="13" t="str">
        <f t="shared" ref="M471:M480" si="554">IF(OR(UPPER(TRIM(L471))="AB",L471=901,L471="901"),"F",IF(L471&gt;=8,"P","F"))</f>
        <v>F</v>
      </c>
      <c r="AB471" s="7" t="str">
        <f t="shared" si="545"/>
        <v>12</v>
      </c>
      <c r="AC471" s="13" t="str">
        <f t="shared" si="546"/>
        <v>F</v>
      </c>
      <c r="AD471" s="13" t="str">
        <f>AD470</f>
        <v>48</v>
      </c>
      <c r="AE471" s="1">
        <v>550</v>
      </c>
      <c r="AF471" s="15">
        <f t="shared" ref="AF471:AG480" si="555">AF470</f>
        <v>8.7272727272727284</v>
      </c>
      <c r="AG471" s="13" t="str">
        <f t="shared" si="555"/>
        <v>ATKT</v>
      </c>
      <c r="AI471" s="1">
        <v>22</v>
      </c>
      <c r="AJ471" s="15">
        <f>AJ470</f>
        <v>0</v>
      </c>
      <c r="AK471" s="16">
        <f>AK470</f>
        <v>0</v>
      </c>
      <c r="AL471" s="7">
        <f>AL470</f>
        <v>0</v>
      </c>
      <c r="AR471" s="7" t="str">
        <f t="shared" si="547"/>
        <v>F</v>
      </c>
      <c r="AS471" s="8">
        <f t="shared" si="548"/>
        <v>0</v>
      </c>
      <c r="AT471" s="8">
        <f t="shared" si="549"/>
        <v>0</v>
      </c>
      <c r="AU471" s="13">
        <f>IF(OR(UPPER(TRIM(AC471))="AB", AC471=901, AC471="901"), 0, IF(ISNUMBER(MATCH(UPPER(TRIM(AC471)), {"A+","A","B+","B","C","D","P"}, 0)), 2, 0))</f>
        <v>0</v>
      </c>
      <c r="AV471" s="13">
        <f t="shared" si="550"/>
        <v>12</v>
      </c>
      <c r="AW471">
        <f t="shared" si="551"/>
        <v>12</v>
      </c>
      <c r="AX471" s="1">
        <f t="shared" si="552"/>
        <v>24</v>
      </c>
      <c r="AY471" s="13">
        <f t="shared" ref="AY471:AY480" si="556">AY470</f>
        <v>48</v>
      </c>
    </row>
    <row r="472" spans="1:51">
      <c r="A472" s="7">
        <v>5078023</v>
      </c>
      <c r="B472" s="7"/>
      <c r="C472" s="33" t="s">
        <v>104</v>
      </c>
      <c r="D472" s="1" t="s">
        <v>47</v>
      </c>
      <c r="E472" s="3">
        <v>1</v>
      </c>
      <c r="F472" s="1" t="s">
        <v>48</v>
      </c>
      <c r="G472" s="1">
        <v>1461111</v>
      </c>
      <c r="H472" s="2" t="s">
        <v>52</v>
      </c>
      <c r="I472" s="5" t="s">
        <v>50</v>
      </c>
      <c r="J472" s="1">
        <v>9</v>
      </c>
      <c r="K472" s="13" t="str">
        <f t="shared" si="553"/>
        <v>P</v>
      </c>
      <c r="L472" s="1">
        <v>901</v>
      </c>
      <c r="M472" s="13" t="str">
        <f t="shared" si="554"/>
        <v>F</v>
      </c>
      <c r="AB472" s="7" t="str">
        <f t="shared" si="545"/>
        <v>9</v>
      </c>
      <c r="AC472" s="13" t="str">
        <f t="shared" si="546"/>
        <v>F</v>
      </c>
      <c r="AD472" s="13" t="str">
        <f t="shared" ref="AD472:AD480" si="557">AD471</f>
        <v>48</v>
      </c>
      <c r="AE472" s="1">
        <v>550</v>
      </c>
      <c r="AF472" s="15">
        <f t="shared" si="555"/>
        <v>8.7272727272727284</v>
      </c>
      <c r="AG472" s="13" t="str">
        <f t="shared" si="555"/>
        <v>ATKT</v>
      </c>
      <c r="AI472" s="1">
        <v>22</v>
      </c>
      <c r="AJ472" s="15">
        <f t="shared" ref="AJ472:AL480" si="558">AJ471</f>
        <v>0</v>
      </c>
      <c r="AK472" s="16">
        <f t="shared" si="558"/>
        <v>0</v>
      </c>
      <c r="AL472" s="7">
        <f t="shared" si="558"/>
        <v>0</v>
      </c>
      <c r="AR472" s="7" t="str">
        <f t="shared" si="547"/>
        <v>F</v>
      </c>
      <c r="AS472" s="8">
        <f t="shared" si="548"/>
        <v>0</v>
      </c>
      <c r="AT472" s="8">
        <f t="shared" si="549"/>
        <v>0</v>
      </c>
      <c r="AU472" s="13">
        <f>IF(OR(UPPER(TRIM(AC472))="AB", AC472=901, AC472="901"), 0, IF(ISNUMBER(MATCH(UPPER(TRIM(AC472)), {"A+","A","B+","B","C","D","P"}, 0)), 2, 0))</f>
        <v>0</v>
      </c>
      <c r="AV472" s="13">
        <f t="shared" si="550"/>
        <v>9</v>
      </c>
      <c r="AW472">
        <f t="shared" si="551"/>
        <v>9</v>
      </c>
      <c r="AX472" s="1">
        <f t="shared" si="552"/>
        <v>18</v>
      </c>
      <c r="AY472" s="13">
        <f t="shared" si="556"/>
        <v>48</v>
      </c>
    </row>
    <row r="473" spans="1:51">
      <c r="A473" s="7">
        <v>5078023</v>
      </c>
      <c r="B473" s="7"/>
      <c r="C473" s="33" t="s">
        <v>104</v>
      </c>
      <c r="D473" s="1" t="s">
        <v>47</v>
      </c>
      <c r="E473" s="3">
        <v>1</v>
      </c>
      <c r="F473" s="1" t="s">
        <v>48</v>
      </c>
      <c r="G473" s="1">
        <v>1461112</v>
      </c>
      <c r="H473" s="2" t="s">
        <v>53</v>
      </c>
      <c r="I473" s="5" t="s">
        <v>50</v>
      </c>
      <c r="J473" s="1">
        <v>9</v>
      </c>
      <c r="K473" s="13" t="str">
        <f t="shared" si="553"/>
        <v>P</v>
      </c>
      <c r="L473" s="1">
        <v>901</v>
      </c>
      <c r="M473" s="13" t="str">
        <f t="shared" si="554"/>
        <v>F</v>
      </c>
      <c r="AB473" s="7" t="str">
        <f t="shared" si="545"/>
        <v>9</v>
      </c>
      <c r="AC473" s="13" t="str">
        <f t="shared" si="546"/>
        <v>F</v>
      </c>
      <c r="AD473" s="13" t="str">
        <f t="shared" si="557"/>
        <v>48</v>
      </c>
      <c r="AE473" s="1">
        <v>550</v>
      </c>
      <c r="AF473" s="15">
        <f t="shared" si="555"/>
        <v>8.7272727272727284</v>
      </c>
      <c r="AG473" s="13" t="str">
        <f t="shared" si="555"/>
        <v>ATKT</v>
      </c>
      <c r="AI473" s="1">
        <v>22</v>
      </c>
      <c r="AJ473" s="15">
        <f t="shared" si="558"/>
        <v>0</v>
      </c>
      <c r="AK473" s="16">
        <f t="shared" si="558"/>
        <v>0</v>
      </c>
      <c r="AL473" s="7">
        <f t="shared" si="558"/>
        <v>0</v>
      </c>
      <c r="AR473" s="7" t="str">
        <f t="shared" si="547"/>
        <v>F</v>
      </c>
      <c r="AS473" s="8">
        <f t="shared" si="548"/>
        <v>0</v>
      </c>
      <c r="AT473" s="8">
        <f t="shared" si="549"/>
        <v>0</v>
      </c>
      <c r="AU473" s="13">
        <f>IF(OR(UPPER(TRIM(AC473))="AB", AC473=901, AC473="901"), 0, IF(ISNUMBER(MATCH(UPPER(TRIM(AC473)), {"A+","A","B+","B","C","D","P"}, 0)), 2, 0))</f>
        <v>0</v>
      </c>
      <c r="AV473" s="13">
        <f t="shared" si="550"/>
        <v>9</v>
      </c>
      <c r="AW473">
        <f t="shared" si="551"/>
        <v>9</v>
      </c>
      <c r="AX473" s="1">
        <f t="shared" si="552"/>
        <v>18</v>
      </c>
      <c r="AY473" s="13">
        <f t="shared" si="556"/>
        <v>48</v>
      </c>
    </row>
    <row r="474" spans="1:51">
      <c r="A474" s="7">
        <v>5078023</v>
      </c>
      <c r="B474" s="7"/>
      <c r="C474" s="33" t="s">
        <v>104</v>
      </c>
      <c r="D474" s="1" t="s">
        <v>47</v>
      </c>
      <c r="E474" s="3">
        <v>1</v>
      </c>
      <c r="F474" s="1" t="s">
        <v>48</v>
      </c>
      <c r="G474" s="1">
        <v>1461113</v>
      </c>
      <c r="H474" s="2" t="s">
        <v>54</v>
      </c>
      <c r="I474" s="5" t="s">
        <v>50</v>
      </c>
      <c r="J474" s="1">
        <v>901</v>
      </c>
      <c r="K474" s="13" t="str">
        <f t="shared" si="553"/>
        <v>F</v>
      </c>
      <c r="L474" s="1">
        <v>901</v>
      </c>
      <c r="M474" s="13" t="str">
        <f t="shared" si="554"/>
        <v>F</v>
      </c>
      <c r="AB474" s="7" t="str">
        <f t="shared" si="545"/>
        <v>0</v>
      </c>
      <c r="AC474" s="13" t="str">
        <f t="shared" si="546"/>
        <v>F</v>
      </c>
      <c r="AD474" s="13" t="str">
        <f t="shared" si="557"/>
        <v>48</v>
      </c>
      <c r="AE474" s="1">
        <v>550</v>
      </c>
      <c r="AF474" s="15">
        <f t="shared" si="555"/>
        <v>8.7272727272727284</v>
      </c>
      <c r="AG474" s="13" t="str">
        <f t="shared" si="555"/>
        <v>ATKT</v>
      </c>
      <c r="AI474" s="1">
        <v>22</v>
      </c>
      <c r="AJ474" s="15">
        <f t="shared" si="558"/>
        <v>0</v>
      </c>
      <c r="AK474" s="16">
        <f t="shared" si="558"/>
        <v>0</v>
      </c>
      <c r="AL474" s="7">
        <f t="shared" si="558"/>
        <v>0</v>
      </c>
      <c r="AR474" s="7" t="str">
        <f t="shared" si="547"/>
        <v>F</v>
      </c>
      <c r="AS474" s="8">
        <f t="shared" si="548"/>
        <v>0</v>
      </c>
      <c r="AT474" s="8">
        <f t="shared" si="549"/>
        <v>0</v>
      </c>
      <c r="AU474" s="13">
        <f>IF(OR(UPPER(TRIM(AC474))="AB", AC474=901, AC474="901"), 0, IF(ISNUMBER(MATCH(UPPER(TRIM(AC474)), {"A+","A","B+","B","C","D","P"}, 0)), 2, 0))</f>
        <v>0</v>
      </c>
      <c r="AV474" s="13">
        <f t="shared" si="550"/>
        <v>0</v>
      </c>
      <c r="AW474">
        <f t="shared" si="551"/>
        <v>0</v>
      </c>
      <c r="AX474" s="1">
        <f t="shared" si="552"/>
        <v>0</v>
      </c>
      <c r="AY474" s="13">
        <f t="shared" si="556"/>
        <v>48</v>
      </c>
    </row>
    <row r="475" spans="1:51">
      <c r="A475" s="7">
        <v>5078023</v>
      </c>
      <c r="B475" s="7"/>
      <c r="C475" s="33" t="s">
        <v>104</v>
      </c>
      <c r="D475" s="1" t="s">
        <v>47</v>
      </c>
      <c r="E475" s="3">
        <v>1</v>
      </c>
      <c r="F475" s="1" t="s">
        <v>48</v>
      </c>
      <c r="G475" s="1">
        <v>1461411</v>
      </c>
      <c r="H475" s="2" t="s">
        <v>55</v>
      </c>
      <c r="I475" s="5" t="s">
        <v>50</v>
      </c>
      <c r="J475" s="1">
        <v>901</v>
      </c>
      <c r="K475" s="13" t="str">
        <f t="shared" si="553"/>
        <v>F</v>
      </c>
      <c r="L475" s="1">
        <v>901</v>
      </c>
      <c r="M475" s="13" t="str">
        <f t="shared" si="554"/>
        <v>F</v>
      </c>
      <c r="AB475" s="7" t="str">
        <f t="shared" si="545"/>
        <v>0</v>
      </c>
      <c r="AC475" s="13" t="str">
        <f t="shared" si="546"/>
        <v>F</v>
      </c>
      <c r="AD475" s="13" t="str">
        <f t="shared" si="557"/>
        <v>48</v>
      </c>
      <c r="AE475" s="1">
        <v>550</v>
      </c>
      <c r="AF475" s="15">
        <f t="shared" si="555"/>
        <v>8.7272727272727284</v>
      </c>
      <c r="AG475" s="13" t="str">
        <f t="shared" si="555"/>
        <v>ATKT</v>
      </c>
      <c r="AI475" s="1">
        <v>22</v>
      </c>
      <c r="AJ475" s="15">
        <f t="shared" si="558"/>
        <v>0</v>
      </c>
      <c r="AK475" s="16">
        <f t="shared" si="558"/>
        <v>0</v>
      </c>
      <c r="AL475" s="7">
        <f t="shared" si="558"/>
        <v>0</v>
      </c>
      <c r="AR475" s="7" t="str">
        <f t="shared" si="547"/>
        <v>F</v>
      </c>
      <c r="AS475" s="8">
        <f t="shared" si="548"/>
        <v>0</v>
      </c>
      <c r="AT475" s="8">
        <f t="shared" si="549"/>
        <v>0</v>
      </c>
      <c r="AU475" s="13">
        <f>IF(OR(UPPER(TRIM(AC475))="AB", AC475=901, AC475="901"), 0, IF(ISNUMBER(MATCH(UPPER(TRIM(AC475)), {"A+","A","B+","B","C","D","P"}, 0)), 2, 0))</f>
        <v>0</v>
      </c>
      <c r="AV475" s="13">
        <f t="shared" si="550"/>
        <v>0</v>
      </c>
      <c r="AW475">
        <f t="shared" si="551"/>
        <v>0</v>
      </c>
      <c r="AX475" s="1">
        <f t="shared" si="552"/>
        <v>0</v>
      </c>
      <c r="AY475" s="13">
        <f t="shared" si="556"/>
        <v>48</v>
      </c>
    </row>
    <row r="476" spans="1:51">
      <c r="A476" s="7">
        <v>5078023</v>
      </c>
      <c r="B476" s="7"/>
      <c r="C476" s="33" t="s">
        <v>104</v>
      </c>
      <c r="D476" s="1" t="s">
        <v>47</v>
      </c>
      <c r="E476" s="3">
        <v>1</v>
      </c>
      <c r="F476" s="1" t="s">
        <v>48</v>
      </c>
      <c r="G476" s="1">
        <v>1461412</v>
      </c>
      <c r="H476" s="2" t="s">
        <v>56</v>
      </c>
      <c r="I476" s="5" t="s">
        <v>50</v>
      </c>
      <c r="J476" s="1">
        <v>9</v>
      </c>
      <c r="K476" s="13" t="str">
        <f t="shared" si="553"/>
        <v>P</v>
      </c>
      <c r="L476" s="1">
        <v>901</v>
      </c>
      <c r="M476" s="13" t="str">
        <f t="shared" si="554"/>
        <v>F</v>
      </c>
      <c r="AB476" s="7" t="str">
        <f t="shared" si="545"/>
        <v>9</v>
      </c>
      <c r="AC476" s="13" t="str">
        <f t="shared" si="546"/>
        <v>F</v>
      </c>
      <c r="AD476" s="13" t="str">
        <f t="shared" si="557"/>
        <v>48</v>
      </c>
      <c r="AE476" s="1">
        <v>550</v>
      </c>
      <c r="AF476" s="15">
        <f t="shared" si="555"/>
        <v>8.7272727272727284</v>
      </c>
      <c r="AG476" s="13" t="str">
        <f t="shared" si="555"/>
        <v>ATKT</v>
      </c>
      <c r="AI476" s="1">
        <v>22</v>
      </c>
      <c r="AJ476" s="15">
        <f t="shared" si="558"/>
        <v>0</v>
      </c>
      <c r="AK476" s="16">
        <f t="shared" si="558"/>
        <v>0</v>
      </c>
      <c r="AL476" s="7">
        <f t="shared" si="558"/>
        <v>0</v>
      </c>
      <c r="AR476" s="7" t="str">
        <f t="shared" si="547"/>
        <v>F</v>
      </c>
      <c r="AS476" s="8">
        <f t="shared" si="548"/>
        <v>0</v>
      </c>
      <c r="AT476" s="8">
        <f t="shared" si="549"/>
        <v>0</v>
      </c>
      <c r="AU476" s="13">
        <f>IF(OR(UPPER(TRIM(AC476))="AB", AC476=901, AC476="901"), 0, IF(ISNUMBER(MATCH(UPPER(TRIM(AC476)), {"A+","A","B+","B","C","D","P"}, 0)), 2, 0))</f>
        <v>0</v>
      </c>
      <c r="AV476" s="13">
        <f t="shared" si="550"/>
        <v>9</v>
      </c>
      <c r="AW476">
        <f t="shared" si="551"/>
        <v>9</v>
      </c>
      <c r="AX476" s="1">
        <f t="shared" si="552"/>
        <v>18</v>
      </c>
      <c r="AY476" s="13">
        <f t="shared" si="556"/>
        <v>48</v>
      </c>
    </row>
    <row r="477" spans="1:51">
      <c r="A477" s="7">
        <v>5078023</v>
      </c>
      <c r="B477" s="7"/>
      <c r="C477" s="33" t="s">
        <v>104</v>
      </c>
      <c r="D477" s="1" t="s">
        <v>47</v>
      </c>
      <c r="E477" s="3">
        <v>1</v>
      </c>
      <c r="F477" s="1" t="s">
        <v>48</v>
      </c>
      <c r="G477" s="1">
        <v>2511515</v>
      </c>
      <c r="H477" s="2" t="s">
        <v>57</v>
      </c>
      <c r="I477" s="5" t="s">
        <v>50</v>
      </c>
      <c r="J477" s="1">
        <v>9</v>
      </c>
      <c r="K477" s="13" t="str">
        <f t="shared" si="553"/>
        <v>P</v>
      </c>
      <c r="L477" s="1">
        <v>901</v>
      </c>
      <c r="M477" s="13" t="str">
        <f t="shared" si="554"/>
        <v>F</v>
      </c>
      <c r="AB477" s="7" t="str">
        <f t="shared" si="545"/>
        <v>9</v>
      </c>
      <c r="AC477" s="13" t="str">
        <f t="shared" si="546"/>
        <v>F</v>
      </c>
      <c r="AD477" s="13" t="str">
        <f t="shared" si="557"/>
        <v>48</v>
      </c>
      <c r="AE477" s="1">
        <v>550</v>
      </c>
      <c r="AF477" s="15">
        <f t="shared" si="555"/>
        <v>8.7272727272727284</v>
      </c>
      <c r="AG477" s="13" t="str">
        <f t="shared" si="555"/>
        <v>ATKT</v>
      </c>
      <c r="AI477" s="1">
        <v>22</v>
      </c>
      <c r="AJ477" s="15">
        <f t="shared" si="558"/>
        <v>0</v>
      </c>
      <c r="AK477" s="16">
        <f t="shared" si="558"/>
        <v>0</v>
      </c>
      <c r="AL477" s="7">
        <f t="shared" si="558"/>
        <v>0</v>
      </c>
      <c r="AR477" s="7" t="str">
        <f t="shared" si="547"/>
        <v>F</v>
      </c>
      <c r="AS477" s="8">
        <f t="shared" si="548"/>
        <v>0</v>
      </c>
      <c r="AT477" s="8">
        <f t="shared" si="549"/>
        <v>0</v>
      </c>
      <c r="AU477" s="13">
        <f>IF(OR(UPPER(TRIM(AC477))="AB", AC477=901, AC477="901"), 0, IF(ISNUMBER(MATCH(UPPER(TRIM(AC477)), {"A+","A","B+","B","C","D","P"}, 0)), 2, 0))</f>
        <v>0</v>
      </c>
      <c r="AV477" s="13">
        <f t="shared" si="550"/>
        <v>9</v>
      </c>
      <c r="AW477">
        <f t="shared" si="551"/>
        <v>9</v>
      </c>
      <c r="AX477" s="1">
        <f t="shared" si="552"/>
        <v>18</v>
      </c>
      <c r="AY477" s="13">
        <f t="shared" si="556"/>
        <v>48</v>
      </c>
    </row>
    <row r="478" spans="1:51" ht="28.8">
      <c r="A478" s="7">
        <v>5078023</v>
      </c>
      <c r="B478" s="7"/>
      <c r="C478" s="33" t="s">
        <v>104</v>
      </c>
      <c r="D478" s="1" t="s">
        <v>47</v>
      </c>
      <c r="E478" s="3">
        <v>1</v>
      </c>
      <c r="F478" s="1" t="s">
        <v>48</v>
      </c>
      <c r="G478" s="1">
        <v>2521615</v>
      </c>
      <c r="H478" s="30" t="s">
        <v>96</v>
      </c>
      <c r="I478" s="5" t="s">
        <v>50</v>
      </c>
      <c r="J478" s="1">
        <v>901</v>
      </c>
      <c r="K478" s="13" t="str">
        <f t="shared" si="553"/>
        <v>F</v>
      </c>
      <c r="L478" s="1">
        <v>901</v>
      </c>
      <c r="M478" s="13" t="str">
        <f t="shared" si="554"/>
        <v>F</v>
      </c>
      <c r="AB478" s="7" t="str">
        <f t="shared" si="545"/>
        <v>0</v>
      </c>
      <c r="AC478" s="13" t="str">
        <f t="shared" si="546"/>
        <v>F</v>
      </c>
      <c r="AD478" s="13" t="str">
        <f t="shared" si="557"/>
        <v>48</v>
      </c>
      <c r="AE478" s="1">
        <v>550</v>
      </c>
      <c r="AF478" s="15">
        <f t="shared" si="555"/>
        <v>8.7272727272727284</v>
      </c>
      <c r="AG478" s="13" t="str">
        <f t="shared" si="555"/>
        <v>ATKT</v>
      </c>
      <c r="AI478" s="1">
        <v>22</v>
      </c>
      <c r="AJ478" s="15">
        <f t="shared" si="558"/>
        <v>0</v>
      </c>
      <c r="AK478" s="16">
        <f t="shared" si="558"/>
        <v>0</v>
      </c>
      <c r="AL478" s="7">
        <f t="shared" si="558"/>
        <v>0</v>
      </c>
      <c r="AR478" s="7" t="str">
        <f t="shared" si="547"/>
        <v>F</v>
      </c>
      <c r="AS478" s="8">
        <f t="shared" si="548"/>
        <v>0</v>
      </c>
      <c r="AT478" s="8">
        <f t="shared" si="549"/>
        <v>0</v>
      </c>
      <c r="AU478" s="13">
        <f>IF(OR(UPPER(TRIM(AC478))="AB", AC478=901, AC478="901"), 0, IF(ISNUMBER(MATCH(UPPER(TRIM(AC478)), {"A+","A","B+","B","C","D","P"}, 0)), 2, 0))</f>
        <v>0</v>
      </c>
      <c r="AV478" s="13">
        <f t="shared" si="550"/>
        <v>0</v>
      </c>
      <c r="AW478">
        <f t="shared" si="551"/>
        <v>0</v>
      </c>
      <c r="AX478" s="1">
        <f t="shared" si="552"/>
        <v>0</v>
      </c>
      <c r="AY478" s="13">
        <f t="shared" si="556"/>
        <v>48</v>
      </c>
    </row>
    <row r="479" spans="1:51">
      <c r="A479" s="7">
        <v>5078023</v>
      </c>
      <c r="B479" s="7"/>
      <c r="C479" s="33" t="s">
        <v>104</v>
      </c>
      <c r="D479" s="1" t="s">
        <v>47</v>
      </c>
      <c r="E479" s="3">
        <v>1</v>
      </c>
      <c r="F479" s="1" t="s">
        <v>48</v>
      </c>
      <c r="G479" s="1">
        <v>2531511</v>
      </c>
      <c r="H479" s="2" t="s">
        <v>59</v>
      </c>
      <c r="I479" s="5" t="s">
        <v>50</v>
      </c>
      <c r="J479" s="1">
        <v>901</v>
      </c>
      <c r="K479" s="13" t="str">
        <f t="shared" si="553"/>
        <v>F</v>
      </c>
      <c r="L479" s="1">
        <v>901</v>
      </c>
      <c r="M479" s="13" t="str">
        <f t="shared" si="554"/>
        <v>F</v>
      </c>
      <c r="AB479" s="7" t="str">
        <f t="shared" si="545"/>
        <v>0</v>
      </c>
      <c r="AC479" s="13" t="str">
        <f t="shared" si="546"/>
        <v>F</v>
      </c>
      <c r="AD479" s="13" t="str">
        <f t="shared" si="557"/>
        <v>48</v>
      </c>
      <c r="AE479" s="1">
        <v>550</v>
      </c>
      <c r="AF479" s="15">
        <f t="shared" si="555"/>
        <v>8.7272727272727284</v>
      </c>
      <c r="AG479" s="13" t="str">
        <f t="shared" si="555"/>
        <v>ATKT</v>
      </c>
      <c r="AI479" s="1">
        <v>22</v>
      </c>
      <c r="AJ479" s="15">
        <f t="shared" si="558"/>
        <v>0</v>
      </c>
      <c r="AK479" s="16">
        <f t="shared" si="558"/>
        <v>0</v>
      </c>
      <c r="AL479" s="7">
        <f t="shared" si="558"/>
        <v>0</v>
      </c>
      <c r="AR479" s="7" t="str">
        <f t="shared" si="547"/>
        <v>F</v>
      </c>
      <c r="AS479" s="8">
        <f t="shared" si="548"/>
        <v>0</v>
      </c>
      <c r="AT479" s="8">
        <f t="shared" si="549"/>
        <v>0</v>
      </c>
      <c r="AU479" s="13">
        <f>IF(OR(UPPER(TRIM(AC479))="AB", AC479=901, AC479="901"), 0, IF(ISNUMBER(MATCH(UPPER(TRIM(AC479)), {"A+","A","B+","B","C","D","P"}, 0)), 2, 0))</f>
        <v>0</v>
      </c>
      <c r="AV479" s="13">
        <f t="shared" si="550"/>
        <v>0</v>
      </c>
      <c r="AW479">
        <f t="shared" si="551"/>
        <v>0</v>
      </c>
      <c r="AX479" s="1">
        <f t="shared" si="552"/>
        <v>0</v>
      </c>
      <c r="AY479" s="13">
        <f t="shared" si="556"/>
        <v>48</v>
      </c>
    </row>
    <row r="480" spans="1:51">
      <c r="A480" s="7">
        <v>5078023</v>
      </c>
      <c r="B480" s="7"/>
      <c r="C480" s="33" t="s">
        <v>104</v>
      </c>
      <c r="D480" s="1" t="s">
        <v>47</v>
      </c>
      <c r="E480" s="3">
        <v>1</v>
      </c>
      <c r="F480" s="1" t="s">
        <v>48</v>
      </c>
      <c r="G480" s="1">
        <v>2541515</v>
      </c>
      <c r="H480" s="2" t="s">
        <v>60</v>
      </c>
      <c r="I480" s="5" t="s">
        <v>50</v>
      </c>
      <c r="J480" s="1">
        <v>901</v>
      </c>
      <c r="K480" s="13" t="str">
        <f t="shared" si="553"/>
        <v>F</v>
      </c>
      <c r="L480" s="6">
        <v>901</v>
      </c>
      <c r="M480" s="13" t="str">
        <f t="shared" si="554"/>
        <v>F</v>
      </c>
      <c r="AB480" s="7" t="str">
        <f t="shared" si="545"/>
        <v>0</v>
      </c>
      <c r="AC480" s="13" t="str">
        <f t="shared" si="546"/>
        <v>F</v>
      </c>
      <c r="AD480" s="13" t="str">
        <f t="shared" si="557"/>
        <v>48</v>
      </c>
      <c r="AE480" s="1">
        <v>550</v>
      </c>
      <c r="AF480" s="15">
        <f t="shared" si="555"/>
        <v>8.7272727272727284</v>
      </c>
      <c r="AG480" s="13" t="str">
        <f t="shared" si="555"/>
        <v>ATKT</v>
      </c>
      <c r="AI480" s="1">
        <v>22</v>
      </c>
      <c r="AJ480" s="15">
        <f t="shared" si="558"/>
        <v>0</v>
      </c>
      <c r="AK480" s="16">
        <f t="shared" si="558"/>
        <v>0</v>
      </c>
      <c r="AL480" s="7">
        <f t="shared" si="558"/>
        <v>0</v>
      </c>
      <c r="AR480" s="7" t="str">
        <f t="shared" si="547"/>
        <v>F</v>
      </c>
      <c r="AS480" s="8">
        <f t="shared" si="548"/>
        <v>0</v>
      </c>
      <c r="AT480" s="8">
        <f t="shared" si="549"/>
        <v>0</v>
      </c>
      <c r="AU480" s="13">
        <f>IF(OR(UPPER(TRIM(AC480))="AB", AC480=901, AC480="901"), 0, IF(ISNUMBER(MATCH(UPPER(TRIM(AC480)), {"A+","A","B+","B","C","D","P"}, 0)), 2, 0))</f>
        <v>0</v>
      </c>
      <c r="AV480" s="13">
        <f t="shared" si="550"/>
        <v>0</v>
      </c>
      <c r="AW480">
        <f t="shared" si="551"/>
        <v>0</v>
      </c>
      <c r="AX480" s="1">
        <f t="shared" si="552"/>
        <v>0</v>
      </c>
      <c r="AY480" s="13">
        <f t="shared" si="556"/>
        <v>48</v>
      </c>
    </row>
    <row r="482" spans="1:51">
      <c r="A482" s="7">
        <v>5330245</v>
      </c>
      <c r="B482" s="7"/>
      <c r="C482" s="33" t="s">
        <v>105</v>
      </c>
      <c r="D482" s="1" t="s">
        <v>47</v>
      </c>
      <c r="E482" s="3">
        <v>1</v>
      </c>
      <c r="F482" s="1" t="s">
        <v>48</v>
      </c>
      <c r="G482" s="1">
        <v>1011312</v>
      </c>
      <c r="H482" s="2" t="s">
        <v>49</v>
      </c>
      <c r="I482" s="5" t="s">
        <v>50</v>
      </c>
      <c r="J482" s="6">
        <v>15</v>
      </c>
      <c r="K482" s="13" t="str">
        <f>IF(OR(UPPER(TRIM(J482))="AB",J482=901,J482="901"),"F",IF(J482&gt;=8,"P","F"))</f>
        <v>P</v>
      </c>
      <c r="L482" s="1">
        <v>18</v>
      </c>
      <c r="M482" s="13" t="str">
        <f>IF(OR(UPPER(TRIM(L482))="AB",L482=901,L482="901"),"F",IF(L482&gt;=8,"P","F"))</f>
        <v>P</v>
      </c>
      <c r="N482" s="13"/>
      <c r="O482" s="13"/>
      <c r="P482" s="13"/>
      <c r="Q482" s="13"/>
      <c r="R482" s="13"/>
      <c r="S482" s="13"/>
      <c r="T482" s="13"/>
      <c r="U482" s="13"/>
      <c r="V482" s="13"/>
      <c r="W482" s="13"/>
      <c r="X482" s="13"/>
      <c r="Y482" s="13"/>
      <c r="Z482" s="13"/>
      <c r="AB482" s="7" t="str">
        <f t="shared" ref="AB482:AB492" si="559">AV482 &amp; IF(AA482&lt;&gt;"", " @ " &amp; AA482, "")</f>
        <v>33</v>
      </c>
      <c r="AC482" s="13" t="str">
        <f t="shared" ref="AC482:AC492" si="560">IF(AX482&gt;=90,"O",
IF(AX482&gt;=80,"A+",
IF(AX482&gt;=70,"A",
IF(AX482&gt;=60,"B+",
IF(AX482&gt;=55,"B",
IF(AX482&gt;=50,"C",
IF(AX482&gt;=40,"D","F")))))))</f>
        <v>B+</v>
      </c>
      <c r="AD482" s="13" t="str">
        <f>SUM(AV482:AV492) &amp; IF(SUM(AA482:AA492)&gt;0, " @ " &amp; SUM(AA482:AA492), "")</f>
        <v>286</v>
      </c>
      <c r="AE482" s="1">
        <v>550</v>
      </c>
      <c r="AF482" s="15">
        <f>AY482/AE482*100</f>
        <v>52</v>
      </c>
      <c r="AG482" s="13" t="str" cm="1">
        <f t="array" ref="AG482">IF(
  SUMPRODUCT(--(IFERROR(VALUE(J482:J492),9999)&lt;8))
  + SUMPRODUCT(--(IFERROR(VALUE(L482:L492),9999)&lt;12))
  + COUNTIF(J482:J492,"AB") + COUNTIF(L482:L492,"AB")
  + COUNTIF(J482:J492,901) + COUNTIF(L482:L492,901) &gt; 0,
  "ATKT",
  "PASS"
)</f>
        <v>ATKT</v>
      </c>
      <c r="AI482" s="1">
        <v>22</v>
      </c>
      <c r="AJ482" s="15">
        <f>SUM(AU482:AU492)</f>
        <v>20</v>
      </c>
      <c r="AK482" s="16">
        <f>SUM(AT482:AT492)</f>
        <v>110</v>
      </c>
      <c r="AL482" s="7">
        <f>IF(UPPER(TRIM(AG482))="ATKT",0,ROUND( (SUM(AT482:AT492) /22), 2))</f>
        <v>0</v>
      </c>
      <c r="AR482" s="7" t="str">
        <f t="shared" ref="AR482:AR492" si="561">IF(AL482&gt;=9,"O", IF(AL482&gt;=8,"A+", IF(AL482&gt;=7,"A", IF(AL482&gt;=6,"B+", IF(AL482&gt;=5.5,"B", IF(AL482&gt;=5,"C", IF(AL482&gt;=4,"D","F")))))))</f>
        <v>F</v>
      </c>
      <c r="AS482" s="8">
        <f t="shared" ref="AS482:AS492" si="562">IF(AX482&gt;=90,10,
IF(AX482&gt;=80,9,
IF(AX482&gt;=70,8,
IF(AX482&gt;=60,7,
IF(AX482&gt;=55,6,
IF(AX482&gt;=50,5,
IF(AX482&gt;=40,4,0)))))))</f>
        <v>7</v>
      </c>
      <c r="AT482" s="8">
        <f t="shared" ref="AT482:AT492" si="563">AS482*I482</f>
        <v>14</v>
      </c>
      <c r="AU482" s="13">
        <f>IF(OR(UPPER(TRIM(AC482))="AB", AC482=901, AC482="901"), 0, IF(ISNUMBER(MATCH(UPPER(TRIM(AC482)), {"A+","A","B+","B","C","D","P"}, 0)), 2, 0))</f>
        <v>2</v>
      </c>
      <c r="AV482" s="13">
        <f t="shared" ref="AV482:AV492" si="564">SUM(
IF(OR(UPPER(TRIM(J482))="AB",J482=901,J482="901"),0,IFERROR(VALUE(J482),0)),
IF(OR(UPPER(TRIM(L482))="AB",L482=901,L482="901"),0,IFERROR(VALUE(L482),0)),
IF(OR(UPPER(TRIM(N482))="AB",N482=901,N482="901"),0,IFERROR(VALUE(N482),0))
)</f>
        <v>33</v>
      </c>
      <c r="AW482">
        <f t="shared" ref="AW482:AW492" si="565">AA482+AV482</f>
        <v>33</v>
      </c>
      <c r="AX482" s="1">
        <f t="shared" ref="AX482:AX492" si="566">(AW482 / 50) * 100</f>
        <v>66</v>
      </c>
      <c r="AY482" s="13">
        <f>SUM(AW482:AW492)</f>
        <v>286</v>
      </c>
    </row>
    <row r="483" spans="1:51">
      <c r="A483" s="7">
        <v>5330245</v>
      </c>
      <c r="B483" s="7"/>
      <c r="C483" s="33" t="s">
        <v>105</v>
      </c>
      <c r="D483" s="1" t="s">
        <v>47</v>
      </c>
      <c r="E483" s="3">
        <v>1</v>
      </c>
      <c r="F483" s="1" t="s">
        <v>48</v>
      </c>
      <c r="G483" s="1">
        <v>1171312</v>
      </c>
      <c r="H483" s="2" t="s">
        <v>51</v>
      </c>
      <c r="I483" s="5" t="s">
        <v>50</v>
      </c>
      <c r="J483" s="1">
        <v>12</v>
      </c>
      <c r="K483" s="13" t="str">
        <f t="shared" ref="K483:K492" si="567">IF(OR(UPPER(TRIM(J483))="AB",J483=901,J483="901"),"F",IF(J483&gt;=8,"P","F"))</f>
        <v>P</v>
      </c>
      <c r="L483" s="1">
        <v>12</v>
      </c>
      <c r="M483" s="13" t="str">
        <f t="shared" ref="M483:M492" si="568">IF(OR(UPPER(TRIM(L483))="AB",L483=901,L483="901"),"F",IF(L483&gt;=8,"P","F"))</f>
        <v>P</v>
      </c>
      <c r="AB483" s="7" t="str">
        <f t="shared" si="559"/>
        <v>24</v>
      </c>
      <c r="AC483" s="13" t="str">
        <f t="shared" si="560"/>
        <v>D</v>
      </c>
      <c r="AD483" s="13" t="str">
        <f>AD482</f>
        <v>286</v>
      </c>
      <c r="AE483" s="1">
        <v>550</v>
      </c>
      <c r="AF483" s="15">
        <f t="shared" ref="AF483:AG492" si="569">AF482</f>
        <v>52</v>
      </c>
      <c r="AG483" s="13" t="str">
        <f t="shared" si="569"/>
        <v>ATKT</v>
      </c>
      <c r="AI483" s="1">
        <v>22</v>
      </c>
      <c r="AJ483" s="15">
        <f>AJ482</f>
        <v>20</v>
      </c>
      <c r="AK483" s="16">
        <f>AK482</f>
        <v>110</v>
      </c>
      <c r="AL483" s="7">
        <f>AL482</f>
        <v>0</v>
      </c>
      <c r="AR483" s="7" t="str">
        <f t="shared" si="561"/>
        <v>F</v>
      </c>
      <c r="AS483" s="8">
        <f t="shared" si="562"/>
        <v>4</v>
      </c>
      <c r="AT483" s="8">
        <f t="shared" si="563"/>
        <v>8</v>
      </c>
      <c r="AU483" s="13">
        <f>IF(OR(UPPER(TRIM(AC483))="AB", AC483=901, AC483="901"), 0, IF(ISNUMBER(MATCH(UPPER(TRIM(AC483)), {"A+","A","B+","B","C","D","P"}, 0)), 2, 0))</f>
        <v>2</v>
      </c>
      <c r="AV483" s="13">
        <f t="shared" si="564"/>
        <v>24</v>
      </c>
      <c r="AW483">
        <f t="shared" si="565"/>
        <v>24</v>
      </c>
      <c r="AX483" s="1">
        <f t="shared" si="566"/>
        <v>48</v>
      </c>
      <c r="AY483" s="13">
        <f t="shared" ref="AY483:AY492" si="570">AY482</f>
        <v>286</v>
      </c>
    </row>
    <row r="484" spans="1:51">
      <c r="A484" s="7">
        <v>5330245</v>
      </c>
      <c r="B484" s="7"/>
      <c r="C484" s="33" t="s">
        <v>105</v>
      </c>
      <c r="D484" s="1" t="s">
        <v>47</v>
      </c>
      <c r="E484" s="3">
        <v>1</v>
      </c>
      <c r="F484" s="1" t="s">
        <v>48</v>
      </c>
      <c r="G484" s="1">
        <v>1461111</v>
      </c>
      <c r="H484" s="2" t="s">
        <v>52</v>
      </c>
      <c r="I484" s="5" t="s">
        <v>50</v>
      </c>
      <c r="J484" s="1">
        <v>12</v>
      </c>
      <c r="K484" s="13" t="str">
        <f t="shared" si="567"/>
        <v>P</v>
      </c>
      <c r="L484" s="1">
        <v>13</v>
      </c>
      <c r="M484" s="13" t="str">
        <f t="shared" si="568"/>
        <v>P</v>
      </c>
      <c r="AB484" s="7" t="str">
        <f t="shared" si="559"/>
        <v>25</v>
      </c>
      <c r="AC484" s="13" t="str">
        <f t="shared" si="560"/>
        <v>C</v>
      </c>
      <c r="AD484" s="13" t="str">
        <f t="shared" ref="AD484:AD492" si="571">AD483</f>
        <v>286</v>
      </c>
      <c r="AE484" s="1">
        <v>550</v>
      </c>
      <c r="AF484" s="15">
        <f t="shared" si="569"/>
        <v>52</v>
      </c>
      <c r="AG484" s="13" t="str">
        <f t="shared" si="569"/>
        <v>ATKT</v>
      </c>
      <c r="AI484" s="1">
        <v>22</v>
      </c>
      <c r="AJ484" s="15">
        <f t="shared" ref="AJ484:AL492" si="572">AJ483</f>
        <v>20</v>
      </c>
      <c r="AK484" s="16">
        <f t="shared" si="572"/>
        <v>110</v>
      </c>
      <c r="AL484" s="7">
        <f t="shared" si="572"/>
        <v>0</v>
      </c>
      <c r="AR484" s="7" t="str">
        <f t="shared" si="561"/>
        <v>F</v>
      </c>
      <c r="AS484" s="8">
        <f t="shared" si="562"/>
        <v>5</v>
      </c>
      <c r="AT484" s="8">
        <f t="shared" si="563"/>
        <v>10</v>
      </c>
      <c r="AU484" s="13">
        <f>IF(OR(UPPER(TRIM(AC484))="AB", AC484=901, AC484="901"), 0, IF(ISNUMBER(MATCH(UPPER(TRIM(AC484)), {"A+","A","B+","B","C","D","P"}, 0)), 2, 0))</f>
        <v>2</v>
      </c>
      <c r="AV484" s="13">
        <f t="shared" si="564"/>
        <v>25</v>
      </c>
      <c r="AW484">
        <f t="shared" si="565"/>
        <v>25</v>
      </c>
      <c r="AX484" s="1">
        <f t="shared" si="566"/>
        <v>50</v>
      </c>
      <c r="AY484" s="13">
        <f t="shared" si="570"/>
        <v>286</v>
      </c>
    </row>
    <row r="485" spans="1:51">
      <c r="A485" s="7">
        <v>5330245</v>
      </c>
      <c r="B485" s="7"/>
      <c r="C485" s="33" t="s">
        <v>105</v>
      </c>
      <c r="D485" s="1" t="s">
        <v>47</v>
      </c>
      <c r="E485" s="3">
        <v>1</v>
      </c>
      <c r="F485" s="1" t="s">
        <v>48</v>
      </c>
      <c r="G485" s="1">
        <v>1461112</v>
      </c>
      <c r="H485" s="2" t="s">
        <v>53</v>
      </c>
      <c r="I485" s="5" t="s">
        <v>50</v>
      </c>
      <c r="J485" s="1">
        <v>13</v>
      </c>
      <c r="K485" s="13" t="str">
        <f t="shared" si="567"/>
        <v>P</v>
      </c>
      <c r="L485" s="1">
        <v>12</v>
      </c>
      <c r="M485" s="13" t="str">
        <f t="shared" si="568"/>
        <v>P</v>
      </c>
      <c r="AB485" s="7" t="str">
        <f t="shared" si="559"/>
        <v>25</v>
      </c>
      <c r="AC485" s="13" t="str">
        <f t="shared" si="560"/>
        <v>C</v>
      </c>
      <c r="AD485" s="13" t="str">
        <f t="shared" si="571"/>
        <v>286</v>
      </c>
      <c r="AE485" s="1">
        <v>550</v>
      </c>
      <c r="AF485" s="15">
        <f t="shared" si="569"/>
        <v>52</v>
      </c>
      <c r="AG485" s="13" t="str">
        <f t="shared" si="569"/>
        <v>ATKT</v>
      </c>
      <c r="AI485" s="1">
        <v>22</v>
      </c>
      <c r="AJ485" s="15">
        <f t="shared" si="572"/>
        <v>20</v>
      </c>
      <c r="AK485" s="16">
        <f t="shared" si="572"/>
        <v>110</v>
      </c>
      <c r="AL485" s="7">
        <f t="shared" si="572"/>
        <v>0</v>
      </c>
      <c r="AR485" s="7" t="str">
        <f t="shared" si="561"/>
        <v>F</v>
      </c>
      <c r="AS485" s="8">
        <f t="shared" si="562"/>
        <v>5</v>
      </c>
      <c r="AT485" s="8">
        <f t="shared" si="563"/>
        <v>10</v>
      </c>
      <c r="AU485" s="13">
        <f>IF(OR(UPPER(TRIM(AC485))="AB", AC485=901, AC485="901"), 0, IF(ISNUMBER(MATCH(UPPER(TRIM(AC485)), {"A+","A","B+","B","C","D","P"}, 0)), 2, 0))</f>
        <v>2</v>
      </c>
      <c r="AV485" s="13">
        <f t="shared" si="564"/>
        <v>25</v>
      </c>
      <c r="AW485">
        <f t="shared" si="565"/>
        <v>25</v>
      </c>
      <c r="AX485" s="1">
        <f t="shared" si="566"/>
        <v>50</v>
      </c>
      <c r="AY485" s="13">
        <f t="shared" si="570"/>
        <v>286</v>
      </c>
    </row>
    <row r="486" spans="1:51">
      <c r="A486" s="7">
        <v>5330245</v>
      </c>
      <c r="B486" s="7"/>
      <c r="C486" s="33" t="s">
        <v>105</v>
      </c>
      <c r="D486" s="1" t="s">
        <v>47</v>
      </c>
      <c r="E486" s="3">
        <v>1</v>
      </c>
      <c r="F486" s="1" t="s">
        <v>48</v>
      </c>
      <c r="G486" s="1">
        <v>1461113</v>
      </c>
      <c r="H486" s="2" t="s">
        <v>54</v>
      </c>
      <c r="I486" s="5" t="s">
        <v>50</v>
      </c>
      <c r="J486" s="1">
        <v>19</v>
      </c>
      <c r="K486" s="13" t="str">
        <f t="shared" si="567"/>
        <v>P</v>
      </c>
      <c r="L486" s="1">
        <v>13</v>
      </c>
      <c r="M486" s="13" t="str">
        <f t="shared" si="568"/>
        <v>P</v>
      </c>
      <c r="AB486" s="7" t="str">
        <f t="shared" si="559"/>
        <v>32</v>
      </c>
      <c r="AC486" s="13" t="str">
        <f t="shared" si="560"/>
        <v>B+</v>
      </c>
      <c r="AD486" s="13" t="str">
        <f t="shared" si="571"/>
        <v>286</v>
      </c>
      <c r="AE486" s="1">
        <v>550</v>
      </c>
      <c r="AF486" s="15">
        <f t="shared" si="569"/>
        <v>52</v>
      </c>
      <c r="AG486" s="13" t="str">
        <f t="shared" si="569"/>
        <v>ATKT</v>
      </c>
      <c r="AI486" s="1">
        <v>22</v>
      </c>
      <c r="AJ486" s="15">
        <f t="shared" si="572"/>
        <v>20</v>
      </c>
      <c r="AK486" s="16">
        <f t="shared" si="572"/>
        <v>110</v>
      </c>
      <c r="AL486" s="7">
        <f t="shared" si="572"/>
        <v>0</v>
      </c>
      <c r="AR486" s="7" t="str">
        <f t="shared" si="561"/>
        <v>F</v>
      </c>
      <c r="AS486" s="8">
        <f t="shared" si="562"/>
        <v>7</v>
      </c>
      <c r="AT486" s="8">
        <f t="shared" si="563"/>
        <v>14</v>
      </c>
      <c r="AU486" s="13">
        <f>IF(OR(UPPER(TRIM(AC486))="AB", AC486=901, AC486="901"), 0, IF(ISNUMBER(MATCH(UPPER(TRIM(AC486)), {"A+","A","B+","B","C","D","P"}, 0)), 2, 0))</f>
        <v>2</v>
      </c>
      <c r="AV486" s="13">
        <f t="shared" si="564"/>
        <v>32</v>
      </c>
      <c r="AW486">
        <f t="shared" si="565"/>
        <v>32</v>
      </c>
      <c r="AX486" s="1">
        <f t="shared" si="566"/>
        <v>64</v>
      </c>
      <c r="AY486" s="13">
        <f t="shared" si="570"/>
        <v>286</v>
      </c>
    </row>
    <row r="487" spans="1:51">
      <c r="A487" s="7">
        <v>5330245</v>
      </c>
      <c r="B487" s="7"/>
      <c r="C487" s="33" t="s">
        <v>105</v>
      </c>
      <c r="D487" s="1" t="s">
        <v>47</v>
      </c>
      <c r="E487" s="3">
        <v>1</v>
      </c>
      <c r="F487" s="1" t="s">
        <v>48</v>
      </c>
      <c r="G487" s="1">
        <v>1461411</v>
      </c>
      <c r="H487" s="2" t="s">
        <v>55</v>
      </c>
      <c r="I487" s="5" t="s">
        <v>50</v>
      </c>
      <c r="J487" s="1">
        <v>16</v>
      </c>
      <c r="K487" s="13" t="str">
        <f t="shared" si="567"/>
        <v>P</v>
      </c>
      <c r="L487" s="1">
        <v>12</v>
      </c>
      <c r="M487" s="13" t="str">
        <f t="shared" si="568"/>
        <v>P</v>
      </c>
      <c r="AB487" s="7" t="str">
        <f t="shared" si="559"/>
        <v>28</v>
      </c>
      <c r="AC487" s="13" t="str">
        <f t="shared" si="560"/>
        <v>B</v>
      </c>
      <c r="AD487" s="13" t="str">
        <f t="shared" si="571"/>
        <v>286</v>
      </c>
      <c r="AE487" s="1">
        <v>550</v>
      </c>
      <c r="AF487" s="15">
        <f t="shared" si="569"/>
        <v>52</v>
      </c>
      <c r="AG487" s="13" t="str">
        <f t="shared" si="569"/>
        <v>ATKT</v>
      </c>
      <c r="AI487" s="1">
        <v>22</v>
      </c>
      <c r="AJ487" s="15">
        <f t="shared" si="572"/>
        <v>20</v>
      </c>
      <c r="AK487" s="16">
        <f t="shared" si="572"/>
        <v>110</v>
      </c>
      <c r="AL487" s="7">
        <f t="shared" si="572"/>
        <v>0</v>
      </c>
      <c r="AR487" s="7" t="str">
        <f t="shared" si="561"/>
        <v>F</v>
      </c>
      <c r="AS487" s="8">
        <f t="shared" si="562"/>
        <v>6</v>
      </c>
      <c r="AT487" s="8">
        <f t="shared" si="563"/>
        <v>12</v>
      </c>
      <c r="AU487" s="13">
        <f>IF(OR(UPPER(TRIM(AC487))="AB", AC487=901, AC487="901"), 0, IF(ISNUMBER(MATCH(UPPER(TRIM(AC487)), {"A+","A","B+","B","C","D","P"}, 0)), 2, 0))</f>
        <v>2</v>
      </c>
      <c r="AV487" s="13">
        <f t="shared" si="564"/>
        <v>28</v>
      </c>
      <c r="AW487">
        <f t="shared" si="565"/>
        <v>28</v>
      </c>
      <c r="AX487" s="1">
        <f t="shared" si="566"/>
        <v>56.000000000000007</v>
      </c>
      <c r="AY487" s="13">
        <f t="shared" si="570"/>
        <v>286</v>
      </c>
    </row>
    <row r="488" spans="1:51">
      <c r="A488" s="7">
        <v>5330245</v>
      </c>
      <c r="B488" s="7"/>
      <c r="C488" s="33" t="s">
        <v>105</v>
      </c>
      <c r="D488" s="1" t="s">
        <v>47</v>
      </c>
      <c r="E488" s="3">
        <v>1</v>
      </c>
      <c r="F488" s="1" t="s">
        <v>48</v>
      </c>
      <c r="G488" s="1">
        <v>1461412</v>
      </c>
      <c r="H488" s="2" t="s">
        <v>56</v>
      </c>
      <c r="I488" s="5" t="s">
        <v>50</v>
      </c>
      <c r="J488" s="1">
        <v>13</v>
      </c>
      <c r="K488" s="13" t="str">
        <f t="shared" si="567"/>
        <v>P</v>
      </c>
      <c r="L488" s="1">
        <v>12</v>
      </c>
      <c r="M488" s="13" t="str">
        <f t="shared" si="568"/>
        <v>P</v>
      </c>
      <c r="AB488" s="7" t="str">
        <f t="shared" si="559"/>
        <v>25</v>
      </c>
      <c r="AC488" s="13" t="str">
        <f t="shared" si="560"/>
        <v>C</v>
      </c>
      <c r="AD488" s="13" t="str">
        <f t="shared" si="571"/>
        <v>286</v>
      </c>
      <c r="AE488" s="1">
        <v>550</v>
      </c>
      <c r="AF488" s="15">
        <f t="shared" si="569"/>
        <v>52</v>
      </c>
      <c r="AG488" s="13" t="str">
        <f t="shared" si="569"/>
        <v>ATKT</v>
      </c>
      <c r="AI488" s="1">
        <v>22</v>
      </c>
      <c r="AJ488" s="15">
        <f t="shared" si="572"/>
        <v>20</v>
      </c>
      <c r="AK488" s="16">
        <f t="shared" si="572"/>
        <v>110</v>
      </c>
      <c r="AL488" s="7">
        <f t="shared" si="572"/>
        <v>0</v>
      </c>
      <c r="AR488" s="7" t="str">
        <f t="shared" si="561"/>
        <v>F</v>
      </c>
      <c r="AS488" s="8">
        <f t="shared" si="562"/>
        <v>5</v>
      </c>
      <c r="AT488" s="8">
        <f t="shared" si="563"/>
        <v>10</v>
      </c>
      <c r="AU488" s="13">
        <f>IF(OR(UPPER(TRIM(AC488))="AB", AC488=901, AC488="901"), 0, IF(ISNUMBER(MATCH(UPPER(TRIM(AC488)), {"A+","A","B+","B","C","D","P"}, 0)), 2, 0))</f>
        <v>2</v>
      </c>
      <c r="AV488" s="13">
        <f t="shared" si="564"/>
        <v>25</v>
      </c>
      <c r="AW488">
        <f t="shared" si="565"/>
        <v>25</v>
      </c>
      <c r="AX488" s="1">
        <f t="shared" si="566"/>
        <v>50</v>
      </c>
      <c r="AY488" s="13">
        <f t="shared" si="570"/>
        <v>286</v>
      </c>
    </row>
    <row r="489" spans="1:51">
      <c r="A489" s="7">
        <v>5330245</v>
      </c>
      <c r="B489" s="7"/>
      <c r="C489" s="33" t="s">
        <v>105</v>
      </c>
      <c r="D489" s="1" t="s">
        <v>47</v>
      </c>
      <c r="E489" s="3">
        <v>1</v>
      </c>
      <c r="F489" s="1" t="s">
        <v>48</v>
      </c>
      <c r="G489" s="1">
        <v>2511515</v>
      </c>
      <c r="H489" s="2" t="s">
        <v>57</v>
      </c>
      <c r="I489" s="5" t="s">
        <v>50</v>
      </c>
      <c r="J489" s="1">
        <v>13</v>
      </c>
      <c r="K489" s="13" t="str">
        <f t="shared" si="567"/>
        <v>P</v>
      </c>
      <c r="L489" s="1">
        <v>12</v>
      </c>
      <c r="M489" s="13" t="str">
        <f t="shared" si="568"/>
        <v>P</v>
      </c>
      <c r="AB489" s="7" t="str">
        <f t="shared" si="559"/>
        <v>25</v>
      </c>
      <c r="AC489" s="13" t="str">
        <f t="shared" si="560"/>
        <v>C</v>
      </c>
      <c r="AD489" s="13" t="str">
        <f t="shared" si="571"/>
        <v>286</v>
      </c>
      <c r="AE489" s="1">
        <v>550</v>
      </c>
      <c r="AF489" s="15">
        <f t="shared" si="569"/>
        <v>52</v>
      </c>
      <c r="AG489" s="13" t="str">
        <f t="shared" si="569"/>
        <v>ATKT</v>
      </c>
      <c r="AI489" s="1">
        <v>22</v>
      </c>
      <c r="AJ489" s="15">
        <f t="shared" si="572"/>
        <v>20</v>
      </c>
      <c r="AK489" s="16">
        <f t="shared" si="572"/>
        <v>110</v>
      </c>
      <c r="AL489" s="7">
        <f t="shared" si="572"/>
        <v>0</v>
      </c>
      <c r="AR489" s="7" t="str">
        <f t="shared" si="561"/>
        <v>F</v>
      </c>
      <c r="AS489" s="8">
        <f t="shared" si="562"/>
        <v>5</v>
      </c>
      <c r="AT489" s="8">
        <f t="shared" si="563"/>
        <v>10</v>
      </c>
      <c r="AU489" s="13">
        <f>IF(OR(UPPER(TRIM(AC489))="AB", AC489=901, AC489="901"), 0, IF(ISNUMBER(MATCH(UPPER(TRIM(AC489)), {"A+","A","B+","B","C","D","P"}, 0)), 2, 0))</f>
        <v>2</v>
      </c>
      <c r="AV489" s="13">
        <f t="shared" si="564"/>
        <v>25</v>
      </c>
      <c r="AW489">
        <f t="shared" si="565"/>
        <v>25</v>
      </c>
      <c r="AX489" s="1">
        <f t="shared" si="566"/>
        <v>50</v>
      </c>
      <c r="AY489" s="13">
        <f t="shared" si="570"/>
        <v>286</v>
      </c>
    </row>
    <row r="490" spans="1:51" ht="28.8">
      <c r="A490" s="7">
        <v>5330245</v>
      </c>
      <c r="B490" s="7"/>
      <c r="C490" s="33" t="s">
        <v>105</v>
      </c>
      <c r="D490" s="1" t="s">
        <v>47</v>
      </c>
      <c r="E490" s="3">
        <v>1</v>
      </c>
      <c r="F490" s="1" t="s">
        <v>48</v>
      </c>
      <c r="G490" s="1">
        <v>2521615</v>
      </c>
      <c r="H490" s="30" t="s">
        <v>96</v>
      </c>
      <c r="I490" s="5" t="s">
        <v>50</v>
      </c>
      <c r="J490" s="1">
        <v>12</v>
      </c>
      <c r="K490" s="13" t="str">
        <f t="shared" si="567"/>
        <v>P</v>
      </c>
      <c r="L490" s="1">
        <v>12</v>
      </c>
      <c r="M490" s="13" t="str">
        <f t="shared" si="568"/>
        <v>P</v>
      </c>
      <c r="AB490" s="7" t="str">
        <f t="shared" si="559"/>
        <v>24</v>
      </c>
      <c r="AC490" s="13" t="str">
        <f t="shared" si="560"/>
        <v>D</v>
      </c>
      <c r="AD490" s="13" t="str">
        <f t="shared" si="571"/>
        <v>286</v>
      </c>
      <c r="AE490" s="1">
        <v>550</v>
      </c>
      <c r="AF490" s="15">
        <f t="shared" si="569"/>
        <v>52</v>
      </c>
      <c r="AG490" s="13" t="str">
        <f t="shared" si="569"/>
        <v>ATKT</v>
      </c>
      <c r="AI490" s="1">
        <v>22</v>
      </c>
      <c r="AJ490" s="15">
        <f t="shared" si="572"/>
        <v>20</v>
      </c>
      <c r="AK490" s="16">
        <f t="shared" si="572"/>
        <v>110</v>
      </c>
      <c r="AL490" s="7">
        <f t="shared" si="572"/>
        <v>0</v>
      </c>
      <c r="AR490" s="7" t="str">
        <f t="shared" si="561"/>
        <v>F</v>
      </c>
      <c r="AS490" s="8">
        <f t="shared" si="562"/>
        <v>4</v>
      </c>
      <c r="AT490" s="8">
        <f t="shared" si="563"/>
        <v>8</v>
      </c>
      <c r="AU490" s="13">
        <f>IF(OR(UPPER(TRIM(AC490))="AB", AC490=901, AC490="901"), 0, IF(ISNUMBER(MATCH(UPPER(TRIM(AC490)), {"A+","A","B+","B","C","D","P"}, 0)), 2, 0))</f>
        <v>2</v>
      </c>
      <c r="AV490" s="13">
        <f t="shared" si="564"/>
        <v>24</v>
      </c>
      <c r="AW490">
        <f t="shared" si="565"/>
        <v>24</v>
      </c>
      <c r="AX490" s="1">
        <f t="shared" si="566"/>
        <v>48</v>
      </c>
      <c r="AY490" s="13">
        <f t="shared" si="570"/>
        <v>286</v>
      </c>
    </row>
    <row r="491" spans="1:51">
      <c r="A491" s="7">
        <v>5330245</v>
      </c>
      <c r="B491" s="7"/>
      <c r="C491" s="33" t="s">
        <v>105</v>
      </c>
      <c r="D491" s="1" t="s">
        <v>47</v>
      </c>
      <c r="E491" s="3">
        <v>1</v>
      </c>
      <c r="F491" s="1" t="s">
        <v>48</v>
      </c>
      <c r="G491" s="1">
        <v>2531511</v>
      </c>
      <c r="H491" s="2" t="s">
        <v>59</v>
      </c>
      <c r="I491" s="5" t="s">
        <v>50</v>
      </c>
      <c r="J491" s="1">
        <v>16</v>
      </c>
      <c r="K491" s="13" t="str">
        <f t="shared" si="567"/>
        <v>P</v>
      </c>
      <c r="L491" s="1">
        <v>14</v>
      </c>
      <c r="M491" s="13" t="str">
        <f t="shared" si="568"/>
        <v>P</v>
      </c>
      <c r="AB491" s="7" t="str">
        <f t="shared" si="559"/>
        <v>30</v>
      </c>
      <c r="AC491" s="13" t="str">
        <f t="shared" si="560"/>
        <v>B+</v>
      </c>
      <c r="AD491" s="13" t="str">
        <f t="shared" si="571"/>
        <v>286</v>
      </c>
      <c r="AE491" s="1">
        <v>550</v>
      </c>
      <c r="AF491" s="15">
        <f t="shared" si="569"/>
        <v>52</v>
      </c>
      <c r="AG491" s="13" t="str">
        <f t="shared" si="569"/>
        <v>ATKT</v>
      </c>
      <c r="AI491" s="1">
        <v>22</v>
      </c>
      <c r="AJ491" s="15">
        <f t="shared" si="572"/>
        <v>20</v>
      </c>
      <c r="AK491" s="16">
        <f t="shared" si="572"/>
        <v>110</v>
      </c>
      <c r="AL491" s="7">
        <f t="shared" si="572"/>
        <v>0</v>
      </c>
      <c r="AR491" s="7" t="str">
        <f t="shared" si="561"/>
        <v>F</v>
      </c>
      <c r="AS491" s="8">
        <f t="shared" si="562"/>
        <v>7</v>
      </c>
      <c r="AT491" s="8">
        <f t="shared" si="563"/>
        <v>14</v>
      </c>
      <c r="AU491" s="13">
        <f>IF(OR(UPPER(TRIM(AC491))="AB", AC491=901, AC491="901"), 0, IF(ISNUMBER(MATCH(UPPER(TRIM(AC491)), {"A+","A","B+","B","C","D","P"}, 0)), 2, 0))</f>
        <v>2</v>
      </c>
      <c r="AV491" s="13">
        <f t="shared" si="564"/>
        <v>30</v>
      </c>
      <c r="AW491">
        <f t="shared" si="565"/>
        <v>30</v>
      </c>
      <c r="AX491" s="1">
        <f t="shared" si="566"/>
        <v>60</v>
      </c>
      <c r="AY491" s="13">
        <f t="shared" si="570"/>
        <v>286</v>
      </c>
    </row>
    <row r="492" spans="1:51">
      <c r="A492" s="7">
        <v>5330245</v>
      </c>
      <c r="B492" s="7"/>
      <c r="C492" s="33" t="s">
        <v>105</v>
      </c>
      <c r="D492" s="1" t="s">
        <v>47</v>
      </c>
      <c r="E492" s="3">
        <v>1</v>
      </c>
      <c r="F492" s="1" t="s">
        <v>48</v>
      </c>
      <c r="G492" s="1">
        <v>2541515</v>
      </c>
      <c r="H492" s="2" t="s">
        <v>60</v>
      </c>
      <c r="I492" s="5" t="s">
        <v>50</v>
      </c>
      <c r="J492" s="1">
        <v>15</v>
      </c>
      <c r="K492" s="13" t="str">
        <f t="shared" si="567"/>
        <v>P</v>
      </c>
      <c r="L492" s="6">
        <v>0</v>
      </c>
      <c r="M492" s="13" t="str">
        <f t="shared" si="568"/>
        <v>F</v>
      </c>
      <c r="AB492" s="7" t="str">
        <f t="shared" si="559"/>
        <v>15</v>
      </c>
      <c r="AC492" s="13" t="str">
        <f t="shared" si="560"/>
        <v>F</v>
      </c>
      <c r="AD492" s="13" t="str">
        <f t="shared" si="571"/>
        <v>286</v>
      </c>
      <c r="AE492" s="1">
        <v>550</v>
      </c>
      <c r="AF492" s="15">
        <f t="shared" si="569"/>
        <v>52</v>
      </c>
      <c r="AG492" s="13" t="str">
        <f t="shared" si="569"/>
        <v>ATKT</v>
      </c>
      <c r="AI492" s="1">
        <v>22</v>
      </c>
      <c r="AJ492" s="15">
        <f t="shared" si="572"/>
        <v>20</v>
      </c>
      <c r="AK492" s="16">
        <f t="shared" si="572"/>
        <v>110</v>
      </c>
      <c r="AL492" s="7">
        <f t="shared" si="572"/>
        <v>0</v>
      </c>
      <c r="AR492" s="7" t="str">
        <f t="shared" si="561"/>
        <v>F</v>
      </c>
      <c r="AS492" s="8">
        <f t="shared" si="562"/>
        <v>0</v>
      </c>
      <c r="AT492" s="8">
        <f t="shared" si="563"/>
        <v>0</v>
      </c>
      <c r="AU492" s="13">
        <f>IF(OR(UPPER(TRIM(AC492))="AB", AC492=901, AC492="901"), 0, IF(ISNUMBER(MATCH(UPPER(TRIM(AC492)), {"A+","A","B+","B","C","D","P"}, 0)), 2, 0))</f>
        <v>0</v>
      </c>
      <c r="AV492" s="13">
        <f t="shared" si="564"/>
        <v>15</v>
      </c>
      <c r="AW492">
        <f t="shared" si="565"/>
        <v>15</v>
      </c>
      <c r="AX492" s="1">
        <f t="shared" si="566"/>
        <v>30</v>
      </c>
      <c r="AY492" s="13">
        <f t="shared" si="570"/>
        <v>286</v>
      </c>
    </row>
    <row r="494" spans="1:51">
      <c r="A494" s="7">
        <v>5137408</v>
      </c>
      <c r="B494" s="7"/>
      <c r="C494" s="33" t="s">
        <v>106</v>
      </c>
      <c r="D494" s="1" t="s">
        <v>47</v>
      </c>
      <c r="E494" s="3">
        <v>1</v>
      </c>
      <c r="F494" s="1" t="s">
        <v>48</v>
      </c>
      <c r="G494" s="1">
        <v>1011312</v>
      </c>
      <c r="H494" s="2" t="s">
        <v>49</v>
      </c>
      <c r="I494" s="5" t="s">
        <v>50</v>
      </c>
      <c r="J494" s="6">
        <v>901</v>
      </c>
      <c r="K494" s="13" t="str">
        <f>IF(OR(UPPER(TRIM(J494))="AB",J494=901,J494="901"),"F",IF(J494&gt;=8,"P","F"))</f>
        <v>F</v>
      </c>
      <c r="L494" s="1">
        <v>901</v>
      </c>
      <c r="M494" s="13" t="str">
        <f>IF(OR(UPPER(TRIM(L494))="AB",L494=901,L494="901"),"F",IF(L494&gt;=8,"P","F"))</f>
        <v>F</v>
      </c>
      <c r="N494" s="13"/>
      <c r="O494" s="13"/>
      <c r="P494" s="13"/>
      <c r="Q494" s="13"/>
      <c r="R494" s="13"/>
      <c r="S494" s="13"/>
      <c r="T494" s="13"/>
      <c r="U494" s="13"/>
      <c r="V494" s="13"/>
      <c r="W494" s="13"/>
      <c r="X494" s="13"/>
      <c r="Y494" s="13"/>
      <c r="Z494" s="13"/>
      <c r="AB494" s="7" t="str">
        <f t="shared" ref="AB494:AB504" si="573">AV494 &amp; IF(AA494&lt;&gt;"", " @ " &amp; AA494, "")</f>
        <v>0</v>
      </c>
      <c r="AC494" s="13" t="str">
        <f t="shared" ref="AC494:AC504" si="574">IF(AX494&gt;=90,"O",
IF(AX494&gt;=80,"A+",
IF(AX494&gt;=70,"A",
IF(AX494&gt;=60,"B+",
IF(AX494&gt;=55,"B",
IF(AX494&gt;=50,"C",
IF(AX494&gt;=40,"D","F")))))))</f>
        <v>F</v>
      </c>
      <c r="AD494" s="13" t="str">
        <f>SUM(AV494:AV504) &amp; IF(SUM(AA494:AA504)&gt;0, " @ " &amp; SUM(AA494:AA504), "")</f>
        <v>165</v>
      </c>
      <c r="AE494" s="1">
        <v>550</v>
      </c>
      <c r="AF494" s="15">
        <f>AY494/AE494*100</f>
        <v>30</v>
      </c>
      <c r="AG494" s="13" t="str" cm="1">
        <f t="array" ref="AG494">IF(
  SUMPRODUCT(--(IFERROR(VALUE(J494:J504),9999)&lt;8))
  + SUMPRODUCT(--(IFERROR(VALUE(L494:L504),9999)&lt;12))
  + COUNTIF(J494:J504,"AB") + COUNTIF(L494:L504,"AB")
  + COUNTIF(J494:J504,901) + COUNTIF(L494:L504,901) &gt; 0,
  "ATKT",
  "PASS"
)</f>
        <v>ATKT</v>
      </c>
      <c r="AI494" s="1">
        <v>22</v>
      </c>
      <c r="AJ494" s="15">
        <f>SUM(AU494:AU504)</f>
        <v>8</v>
      </c>
      <c r="AK494" s="16">
        <f>SUM(AT494:AT504)</f>
        <v>38</v>
      </c>
      <c r="AL494" s="7">
        <f>IF(UPPER(TRIM(AG494))="ATKT",0,ROUND( (SUM(AT494:AT504) /22), 2))</f>
        <v>0</v>
      </c>
      <c r="AR494" s="7" t="str">
        <f t="shared" ref="AR494:AR504" si="575">IF(AL494&gt;=9,"O", IF(AL494&gt;=8,"A+", IF(AL494&gt;=7,"A", IF(AL494&gt;=6,"B+", IF(AL494&gt;=5.5,"B", IF(AL494&gt;=5,"C", IF(AL494&gt;=4,"D","F")))))))</f>
        <v>F</v>
      </c>
      <c r="AS494" s="8">
        <f t="shared" ref="AS494:AS504" si="576">IF(AX494&gt;=90,10,
IF(AX494&gt;=80,9,
IF(AX494&gt;=70,8,
IF(AX494&gt;=60,7,
IF(AX494&gt;=55,6,
IF(AX494&gt;=50,5,
IF(AX494&gt;=40,4,0)))))))</f>
        <v>0</v>
      </c>
      <c r="AT494" s="8">
        <f t="shared" ref="AT494:AT504" si="577">AS494*I494</f>
        <v>0</v>
      </c>
      <c r="AU494" s="13">
        <f>IF(OR(UPPER(TRIM(AC494))="AB", AC494=901, AC494="901"), 0, IF(ISNUMBER(MATCH(UPPER(TRIM(AC494)), {"A+","A","B+","B","C","D","P"}, 0)), 2, 0))</f>
        <v>0</v>
      </c>
      <c r="AV494" s="13">
        <f t="shared" ref="AV494:AV504" si="578">SUM(
IF(OR(UPPER(TRIM(J494))="AB",J494=901,J494="901"),0,IFERROR(VALUE(J494),0)),
IF(OR(UPPER(TRIM(L494))="AB",L494=901,L494="901"),0,IFERROR(VALUE(L494),0)),
IF(OR(UPPER(TRIM(N494))="AB",N494=901,N494="901"),0,IFERROR(VALUE(N494),0))
)</f>
        <v>0</v>
      </c>
      <c r="AW494">
        <f t="shared" ref="AW494:AW504" si="579">AA494+AV494</f>
        <v>0</v>
      </c>
      <c r="AX494" s="1">
        <f t="shared" ref="AX494:AX504" si="580">(AW494 / 50) * 100</f>
        <v>0</v>
      </c>
      <c r="AY494" s="13">
        <f>SUM(AW494:AW504)</f>
        <v>165</v>
      </c>
    </row>
    <row r="495" spans="1:51">
      <c r="A495" s="7">
        <v>5137408</v>
      </c>
      <c r="B495" s="7"/>
      <c r="C495" s="33" t="s">
        <v>106</v>
      </c>
      <c r="D495" s="1" t="s">
        <v>47</v>
      </c>
      <c r="E495" s="3">
        <v>1</v>
      </c>
      <c r="F495" s="1" t="s">
        <v>48</v>
      </c>
      <c r="G495" s="1">
        <v>1171312</v>
      </c>
      <c r="H495" s="2" t="s">
        <v>51</v>
      </c>
      <c r="I495" s="5" t="s">
        <v>50</v>
      </c>
      <c r="J495" s="1">
        <v>12</v>
      </c>
      <c r="K495" s="13" t="str">
        <f t="shared" ref="K495:K504" si="581">IF(OR(UPPER(TRIM(J495))="AB",J495=901,J495="901"),"F",IF(J495&gt;=8,"P","F"))</f>
        <v>P</v>
      </c>
      <c r="L495" s="1">
        <v>2</v>
      </c>
      <c r="M495" s="13" t="str">
        <f t="shared" ref="M495:M504" si="582">IF(OR(UPPER(TRIM(L495))="AB",L495=901,L495="901"),"F",IF(L495&gt;=8,"P","F"))</f>
        <v>F</v>
      </c>
      <c r="AB495" s="7" t="str">
        <f t="shared" si="573"/>
        <v>14</v>
      </c>
      <c r="AC495" s="13" t="str">
        <f t="shared" si="574"/>
        <v>F</v>
      </c>
      <c r="AD495" s="13" t="str">
        <f>AD494</f>
        <v>165</v>
      </c>
      <c r="AE495" s="1">
        <v>550</v>
      </c>
      <c r="AF495" s="15">
        <f t="shared" ref="AF495:AG504" si="583">AF494</f>
        <v>30</v>
      </c>
      <c r="AG495" s="13" t="str">
        <f t="shared" si="583"/>
        <v>ATKT</v>
      </c>
      <c r="AI495" s="1">
        <v>22</v>
      </c>
      <c r="AJ495" s="15">
        <f>AJ494</f>
        <v>8</v>
      </c>
      <c r="AK495" s="16">
        <f>AK494</f>
        <v>38</v>
      </c>
      <c r="AL495" s="7">
        <f>AL494</f>
        <v>0</v>
      </c>
      <c r="AR495" s="7" t="str">
        <f t="shared" si="575"/>
        <v>F</v>
      </c>
      <c r="AS495" s="8">
        <f t="shared" si="576"/>
        <v>0</v>
      </c>
      <c r="AT495" s="8">
        <f t="shared" si="577"/>
        <v>0</v>
      </c>
      <c r="AU495" s="13">
        <f>IF(OR(UPPER(TRIM(AC495))="AB", AC495=901, AC495="901"), 0, IF(ISNUMBER(MATCH(UPPER(TRIM(AC495)), {"A+","A","B+","B","C","D","P"}, 0)), 2, 0))</f>
        <v>0</v>
      </c>
      <c r="AV495" s="13">
        <f t="shared" si="578"/>
        <v>14</v>
      </c>
      <c r="AW495">
        <f t="shared" si="579"/>
        <v>14</v>
      </c>
      <c r="AX495" s="1">
        <f t="shared" si="580"/>
        <v>28.000000000000004</v>
      </c>
      <c r="AY495" s="13">
        <f t="shared" ref="AY495:AY504" si="584">AY494</f>
        <v>165</v>
      </c>
    </row>
    <row r="496" spans="1:51">
      <c r="A496" s="7">
        <v>5137408</v>
      </c>
      <c r="B496" s="7"/>
      <c r="C496" s="33" t="s">
        <v>106</v>
      </c>
      <c r="D496" s="1" t="s">
        <v>47</v>
      </c>
      <c r="E496" s="3">
        <v>1</v>
      </c>
      <c r="F496" s="1" t="s">
        <v>48</v>
      </c>
      <c r="G496" s="1">
        <v>1461111</v>
      </c>
      <c r="H496" s="2" t="s">
        <v>52</v>
      </c>
      <c r="I496" s="5" t="s">
        <v>50</v>
      </c>
      <c r="J496" s="1">
        <v>13</v>
      </c>
      <c r="K496" s="13" t="str">
        <f t="shared" si="581"/>
        <v>P</v>
      </c>
      <c r="L496" s="1">
        <v>12</v>
      </c>
      <c r="M496" s="13" t="str">
        <f t="shared" si="582"/>
        <v>P</v>
      </c>
      <c r="AB496" s="7" t="str">
        <f t="shared" si="573"/>
        <v>25</v>
      </c>
      <c r="AC496" s="13" t="str">
        <f t="shared" si="574"/>
        <v>C</v>
      </c>
      <c r="AD496" s="13" t="str">
        <f t="shared" ref="AD496:AD504" si="585">AD495</f>
        <v>165</v>
      </c>
      <c r="AE496" s="1">
        <v>550</v>
      </c>
      <c r="AF496" s="15">
        <f t="shared" si="583"/>
        <v>30</v>
      </c>
      <c r="AG496" s="13" t="str">
        <f t="shared" si="583"/>
        <v>ATKT</v>
      </c>
      <c r="AI496" s="1">
        <v>22</v>
      </c>
      <c r="AJ496" s="15">
        <f t="shared" ref="AJ496:AL504" si="586">AJ495</f>
        <v>8</v>
      </c>
      <c r="AK496" s="16">
        <f t="shared" si="586"/>
        <v>38</v>
      </c>
      <c r="AL496" s="7">
        <f t="shared" si="586"/>
        <v>0</v>
      </c>
      <c r="AR496" s="7" t="str">
        <f t="shared" si="575"/>
        <v>F</v>
      </c>
      <c r="AS496" s="8">
        <f t="shared" si="576"/>
        <v>5</v>
      </c>
      <c r="AT496" s="8">
        <f t="shared" si="577"/>
        <v>10</v>
      </c>
      <c r="AU496" s="13">
        <f>IF(OR(UPPER(TRIM(AC496))="AB", AC496=901, AC496="901"), 0, IF(ISNUMBER(MATCH(UPPER(TRIM(AC496)), {"A+","A","B+","B","C","D","P"}, 0)), 2, 0))</f>
        <v>2</v>
      </c>
      <c r="AV496" s="13">
        <f t="shared" si="578"/>
        <v>25</v>
      </c>
      <c r="AW496">
        <f t="shared" si="579"/>
        <v>25</v>
      </c>
      <c r="AX496" s="1">
        <f t="shared" si="580"/>
        <v>50</v>
      </c>
      <c r="AY496" s="13">
        <f t="shared" si="584"/>
        <v>165</v>
      </c>
    </row>
    <row r="497" spans="1:51">
      <c r="A497" s="7">
        <v>5137408</v>
      </c>
      <c r="B497" s="7"/>
      <c r="C497" s="33" t="s">
        <v>106</v>
      </c>
      <c r="D497" s="1" t="s">
        <v>47</v>
      </c>
      <c r="E497" s="3">
        <v>1</v>
      </c>
      <c r="F497" s="1" t="s">
        <v>48</v>
      </c>
      <c r="G497" s="1">
        <v>1461112</v>
      </c>
      <c r="H497" s="2" t="s">
        <v>53</v>
      </c>
      <c r="I497" s="5" t="s">
        <v>50</v>
      </c>
      <c r="J497" s="1">
        <v>13</v>
      </c>
      <c r="K497" s="13" t="str">
        <f t="shared" si="581"/>
        <v>P</v>
      </c>
      <c r="L497" s="1">
        <v>12</v>
      </c>
      <c r="M497" s="13" t="str">
        <f t="shared" si="582"/>
        <v>P</v>
      </c>
      <c r="AB497" s="7" t="str">
        <f t="shared" si="573"/>
        <v>25</v>
      </c>
      <c r="AC497" s="13" t="str">
        <f t="shared" si="574"/>
        <v>C</v>
      </c>
      <c r="AD497" s="13" t="str">
        <f t="shared" si="585"/>
        <v>165</v>
      </c>
      <c r="AE497" s="1">
        <v>550</v>
      </c>
      <c r="AF497" s="15">
        <f t="shared" si="583"/>
        <v>30</v>
      </c>
      <c r="AG497" s="13" t="str">
        <f t="shared" si="583"/>
        <v>ATKT</v>
      </c>
      <c r="AI497" s="1">
        <v>22</v>
      </c>
      <c r="AJ497" s="15">
        <f t="shared" si="586"/>
        <v>8</v>
      </c>
      <c r="AK497" s="16">
        <f t="shared" si="586"/>
        <v>38</v>
      </c>
      <c r="AL497" s="7">
        <f t="shared" si="586"/>
        <v>0</v>
      </c>
      <c r="AR497" s="7" t="str">
        <f t="shared" si="575"/>
        <v>F</v>
      </c>
      <c r="AS497" s="8">
        <f t="shared" si="576"/>
        <v>5</v>
      </c>
      <c r="AT497" s="8">
        <f t="shared" si="577"/>
        <v>10</v>
      </c>
      <c r="AU497" s="13">
        <f>IF(OR(UPPER(TRIM(AC497))="AB", AC497=901, AC497="901"), 0, IF(ISNUMBER(MATCH(UPPER(TRIM(AC497)), {"A+","A","B+","B","C","D","P"}, 0)), 2, 0))</f>
        <v>2</v>
      </c>
      <c r="AV497" s="13">
        <f t="shared" si="578"/>
        <v>25</v>
      </c>
      <c r="AW497">
        <f t="shared" si="579"/>
        <v>25</v>
      </c>
      <c r="AX497" s="1">
        <f t="shared" si="580"/>
        <v>50</v>
      </c>
      <c r="AY497" s="13">
        <f t="shared" si="584"/>
        <v>165</v>
      </c>
    </row>
    <row r="498" spans="1:51">
      <c r="A498" s="7">
        <v>5137408</v>
      </c>
      <c r="B498" s="7"/>
      <c r="C498" s="33" t="s">
        <v>106</v>
      </c>
      <c r="D498" s="1" t="s">
        <v>47</v>
      </c>
      <c r="E498" s="3">
        <v>1</v>
      </c>
      <c r="F498" s="1" t="s">
        <v>48</v>
      </c>
      <c r="G498" s="1">
        <v>1461113</v>
      </c>
      <c r="H498" s="2" t="s">
        <v>54</v>
      </c>
      <c r="I498" s="5" t="s">
        <v>50</v>
      </c>
      <c r="J498" s="1">
        <v>10</v>
      </c>
      <c r="K498" s="13" t="str">
        <f t="shared" si="581"/>
        <v>P</v>
      </c>
      <c r="L498" s="1">
        <v>16</v>
      </c>
      <c r="M498" s="13" t="str">
        <f t="shared" si="582"/>
        <v>P</v>
      </c>
      <c r="AB498" s="7" t="str">
        <f t="shared" si="573"/>
        <v>26</v>
      </c>
      <c r="AC498" s="13" t="str">
        <f t="shared" si="574"/>
        <v>C</v>
      </c>
      <c r="AD498" s="13" t="str">
        <f t="shared" si="585"/>
        <v>165</v>
      </c>
      <c r="AE498" s="1">
        <v>550</v>
      </c>
      <c r="AF498" s="15">
        <f t="shared" si="583"/>
        <v>30</v>
      </c>
      <c r="AG498" s="13" t="str">
        <f t="shared" si="583"/>
        <v>ATKT</v>
      </c>
      <c r="AI498" s="1">
        <v>22</v>
      </c>
      <c r="AJ498" s="15">
        <f t="shared" si="586"/>
        <v>8</v>
      </c>
      <c r="AK498" s="16">
        <f t="shared" si="586"/>
        <v>38</v>
      </c>
      <c r="AL498" s="7">
        <f t="shared" si="586"/>
        <v>0</v>
      </c>
      <c r="AR498" s="7" t="str">
        <f t="shared" si="575"/>
        <v>F</v>
      </c>
      <c r="AS498" s="8">
        <f t="shared" si="576"/>
        <v>5</v>
      </c>
      <c r="AT498" s="8">
        <f t="shared" si="577"/>
        <v>10</v>
      </c>
      <c r="AU498" s="13">
        <f>IF(OR(UPPER(TRIM(AC498))="AB", AC498=901, AC498="901"), 0, IF(ISNUMBER(MATCH(UPPER(TRIM(AC498)), {"A+","A","B+","B","C","D","P"}, 0)), 2, 0))</f>
        <v>2</v>
      </c>
      <c r="AV498" s="13">
        <f t="shared" si="578"/>
        <v>26</v>
      </c>
      <c r="AW498">
        <f t="shared" si="579"/>
        <v>26</v>
      </c>
      <c r="AX498" s="1">
        <f t="shared" si="580"/>
        <v>52</v>
      </c>
      <c r="AY498" s="13">
        <f t="shared" si="584"/>
        <v>165</v>
      </c>
    </row>
    <row r="499" spans="1:51">
      <c r="A499" s="7">
        <v>5137408</v>
      </c>
      <c r="B499" s="7"/>
      <c r="C499" s="33" t="s">
        <v>106</v>
      </c>
      <c r="D499" s="1" t="s">
        <v>47</v>
      </c>
      <c r="E499" s="3">
        <v>1</v>
      </c>
      <c r="F499" s="1" t="s">
        <v>48</v>
      </c>
      <c r="G499" s="1">
        <v>1461411</v>
      </c>
      <c r="H499" s="2" t="s">
        <v>55</v>
      </c>
      <c r="I499" s="5" t="s">
        <v>50</v>
      </c>
      <c r="J499" s="1">
        <v>12</v>
      </c>
      <c r="K499" s="13" t="str">
        <f t="shared" si="581"/>
        <v>P</v>
      </c>
      <c r="L499" s="1">
        <v>4</v>
      </c>
      <c r="M499" s="13" t="str">
        <f t="shared" si="582"/>
        <v>F</v>
      </c>
      <c r="AB499" s="7" t="str">
        <f t="shared" si="573"/>
        <v>16</v>
      </c>
      <c r="AC499" s="13" t="str">
        <f t="shared" si="574"/>
        <v>F</v>
      </c>
      <c r="AD499" s="13" t="str">
        <f t="shared" si="585"/>
        <v>165</v>
      </c>
      <c r="AE499" s="1">
        <v>550</v>
      </c>
      <c r="AF499" s="15">
        <f t="shared" si="583"/>
        <v>30</v>
      </c>
      <c r="AG499" s="13" t="str">
        <f t="shared" si="583"/>
        <v>ATKT</v>
      </c>
      <c r="AI499" s="1">
        <v>22</v>
      </c>
      <c r="AJ499" s="15">
        <f t="shared" si="586"/>
        <v>8</v>
      </c>
      <c r="AK499" s="16">
        <f t="shared" si="586"/>
        <v>38</v>
      </c>
      <c r="AL499" s="7">
        <f t="shared" si="586"/>
        <v>0</v>
      </c>
      <c r="AR499" s="7" t="str">
        <f t="shared" si="575"/>
        <v>F</v>
      </c>
      <c r="AS499" s="8">
        <f t="shared" si="576"/>
        <v>0</v>
      </c>
      <c r="AT499" s="8">
        <f t="shared" si="577"/>
        <v>0</v>
      </c>
      <c r="AU499" s="13">
        <f>IF(OR(UPPER(TRIM(AC499))="AB", AC499=901, AC499="901"), 0, IF(ISNUMBER(MATCH(UPPER(TRIM(AC499)), {"A+","A","B+","B","C","D","P"}, 0)), 2, 0))</f>
        <v>0</v>
      </c>
      <c r="AV499" s="13">
        <f t="shared" si="578"/>
        <v>16</v>
      </c>
      <c r="AW499">
        <f t="shared" si="579"/>
        <v>16</v>
      </c>
      <c r="AX499" s="1">
        <f t="shared" si="580"/>
        <v>32</v>
      </c>
      <c r="AY499" s="13">
        <f t="shared" si="584"/>
        <v>165</v>
      </c>
    </row>
    <row r="500" spans="1:51">
      <c r="A500" s="7">
        <v>5137408</v>
      </c>
      <c r="B500" s="7"/>
      <c r="C500" s="33" t="s">
        <v>106</v>
      </c>
      <c r="D500" s="1" t="s">
        <v>47</v>
      </c>
      <c r="E500" s="3">
        <v>1</v>
      </c>
      <c r="F500" s="1" t="s">
        <v>48</v>
      </c>
      <c r="G500" s="1">
        <v>1461412</v>
      </c>
      <c r="H500" s="2" t="s">
        <v>56</v>
      </c>
      <c r="I500" s="5" t="s">
        <v>50</v>
      </c>
      <c r="J500" s="1">
        <v>13</v>
      </c>
      <c r="K500" s="13" t="str">
        <f t="shared" si="581"/>
        <v>P</v>
      </c>
      <c r="L500" s="1">
        <v>901</v>
      </c>
      <c r="M500" s="13" t="str">
        <f t="shared" si="582"/>
        <v>F</v>
      </c>
      <c r="AB500" s="7" t="str">
        <f t="shared" si="573"/>
        <v>13</v>
      </c>
      <c r="AC500" s="13" t="str">
        <f t="shared" si="574"/>
        <v>F</v>
      </c>
      <c r="AD500" s="13" t="str">
        <f t="shared" si="585"/>
        <v>165</v>
      </c>
      <c r="AE500" s="1">
        <v>550</v>
      </c>
      <c r="AF500" s="15">
        <f t="shared" si="583"/>
        <v>30</v>
      </c>
      <c r="AG500" s="13" t="str">
        <f t="shared" si="583"/>
        <v>ATKT</v>
      </c>
      <c r="AI500" s="1">
        <v>22</v>
      </c>
      <c r="AJ500" s="15">
        <f t="shared" si="586"/>
        <v>8</v>
      </c>
      <c r="AK500" s="16">
        <f t="shared" si="586"/>
        <v>38</v>
      </c>
      <c r="AL500" s="7">
        <f t="shared" si="586"/>
        <v>0</v>
      </c>
      <c r="AR500" s="7" t="str">
        <f t="shared" si="575"/>
        <v>F</v>
      </c>
      <c r="AS500" s="8">
        <f t="shared" si="576"/>
        <v>0</v>
      </c>
      <c r="AT500" s="8">
        <f t="shared" si="577"/>
        <v>0</v>
      </c>
      <c r="AU500" s="13">
        <f>IF(OR(UPPER(TRIM(AC500))="AB", AC500=901, AC500="901"), 0, IF(ISNUMBER(MATCH(UPPER(TRIM(AC500)), {"A+","A","B+","B","C","D","P"}, 0)), 2, 0))</f>
        <v>0</v>
      </c>
      <c r="AV500" s="13">
        <f t="shared" si="578"/>
        <v>13</v>
      </c>
      <c r="AW500">
        <f t="shared" si="579"/>
        <v>13</v>
      </c>
      <c r="AX500" s="1">
        <f t="shared" si="580"/>
        <v>26</v>
      </c>
      <c r="AY500" s="13">
        <f t="shared" si="584"/>
        <v>165</v>
      </c>
    </row>
    <row r="501" spans="1:51">
      <c r="A501" s="7">
        <v>5137408</v>
      </c>
      <c r="B501" s="7"/>
      <c r="C501" s="33" t="s">
        <v>106</v>
      </c>
      <c r="D501" s="1" t="s">
        <v>47</v>
      </c>
      <c r="E501" s="3">
        <v>1</v>
      </c>
      <c r="F501" s="1" t="s">
        <v>48</v>
      </c>
      <c r="G501" s="1">
        <v>2511515</v>
      </c>
      <c r="H501" s="2" t="s">
        <v>57</v>
      </c>
      <c r="I501" s="5" t="s">
        <v>50</v>
      </c>
      <c r="J501" s="1">
        <v>12</v>
      </c>
      <c r="K501" s="13" t="str">
        <f t="shared" si="581"/>
        <v>P</v>
      </c>
      <c r="L501" s="1">
        <v>901</v>
      </c>
      <c r="M501" s="13" t="str">
        <f t="shared" si="582"/>
        <v>F</v>
      </c>
      <c r="AB501" s="7" t="str">
        <f t="shared" si="573"/>
        <v>12</v>
      </c>
      <c r="AC501" s="13" t="str">
        <f t="shared" si="574"/>
        <v>F</v>
      </c>
      <c r="AD501" s="13" t="str">
        <f t="shared" si="585"/>
        <v>165</v>
      </c>
      <c r="AE501" s="1">
        <v>550</v>
      </c>
      <c r="AF501" s="15">
        <f t="shared" si="583"/>
        <v>30</v>
      </c>
      <c r="AG501" s="13" t="str">
        <f t="shared" si="583"/>
        <v>ATKT</v>
      </c>
      <c r="AI501" s="1">
        <v>22</v>
      </c>
      <c r="AJ501" s="15">
        <f t="shared" si="586"/>
        <v>8</v>
      </c>
      <c r="AK501" s="16">
        <f t="shared" si="586"/>
        <v>38</v>
      </c>
      <c r="AL501" s="7">
        <f t="shared" si="586"/>
        <v>0</v>
      </c>
      <c r="AR501" s="7" t="str">
        <f t="shared" si="575"/>
        <v>F</v>
      </c>
      <c r="AS501" s="8">
        <f t="shared" si="576"/>
        <v>0</v>
      </c>
      <c r="AT501" s="8">
        <f t="shared" si="577"/>
        <v>0</v>
      </c>
      <c r="AU501" s="13">
        <f>IF(OR(UPPER(TRIM(AC501))="AB", AC501=901, AC501="901"), 0, IF(ISNUMBER(MATCH(UPPER(TRIM(AC501)), {"A+","A","B+","B","C","D","P"}, 0)), 2, 0))</f>
        <v>0</v>
      </c>
      <c r="AV501" s="13">
        <f t="shared" si="578"/>
        <v>12</v>
      </c>
      <c r="AW501">
        <f t="shared" si="579"/>
        <v>12</v>
      </c>
      <c r="AX501" s="1">
        <f t="shared" si="580"/>
        <v>24</v>
      </c>
      <c r="AY501" s="13">
        <f t="shared" si="584"/>
        <v>165</v>
      </c>
    </row>
    <row r="502" spans="1:51" ht="28.8">
      <c r="A502" s="7">
        <v>5137408</v>
      </c>
      <c r="B502" s="7"/>
      <c r="C502" s="33" t="s">
        <v>106</v>
      </c>
      <c r="D502" s="1" t="s">
        <v>47</v>
      </c>
      <c r="E502" s="3">
        <v>1</v>
      </c>
      <c r="F502" s="1" t="s">
        <v>48</v>
      </c>
      <c r="G502" s="1">
        <v>2521615</v>
      </c>
      <c r="H502" s="30" t="s">
        <v>96</v>
      </c>
      <c r="I502" s="5" t="s">
        <v>50</v>
      </c>
      <c r="J502" s="1">
        <v>12</v>
      </c>
      <c r="K502" s="13" t="str">
        <f t="shared" si="581"/>
        <v>P</v>
      </c>
      <c r="L502" s="1">
        <v>12</v>
      </c>
      <c r="M502" s="13" t="str">
        <f t="shared" si="582"/>
        <v>P</v>
      </c>
      <c r="AB502" s="7" t="str">
        <f t="shared" si="573"/>
        <v>24</v>
      </c>
      <c r="AC502" s="13" t="str">
        <f t="shared" si="574"/>
        <v>D</v>
      </c>
      <c r="AD502" s="13" t="str">
        <f t="shared" si="585"/>
        <v>165</v>
      </c>
      <c r="AE502" s="1">
        <v>550</v>
      </c>
      <c r="AF502" s="15">
        <f t="shared" si="583"/>
        <v>30</v>
      </c>
      <c r="AG502" s="13" t="str">
        <f t="shared" si="583"/>
        <v>ATKT</v>
      </c>
      <c r="AI502" s="1">
        <v>22</v>
      </c>
      <c r="AJ502" s="15">
        <f t="shared" si="586"/>
        <v>8</v>
      </c>
      <c r="AK502" s="16">
        <f t="shared" si="586"/>
        <v>38</v>
      </c>
      <c r="AL502" s="7">
        <f t="shared" si="586"/>
        <v>0</v>
      </c>
      <c r="AR502" s="7" t="str">
        <f t="shared" si="575"/>
        <v>F</v>
      </c>
      <c r="AS502" s="8">
        <f t="shared" si="576"/>
        <v>4</v>
      </c>
      <c r="AT502" s="8">
        <f t="shared" si="577"/>
        <v>8</v>
      </c>
      <c r="AU502" s="13">
        <f>IF(OR(UPPER(TRIM(AC502))="AB", AC502=901, AC502="901"), 0, IF(ISNUMBER(MATCH(UPPER(TRIM(AC502)), {"A+","A","B+","B","C","D","P"}, 0)), 2, 0))</f>
        <v>2</v>
      </c>
      <c r="AV502" s="13">
        <f t="shared" si="578"/>
        <v>24</v>
      </c>
      <c r="AW502">
        <f t="shared" si="579"/>
        <v>24</v>
      </c>
      <c r="AX502" s="1">
        <f t="shared" si="580"/>
        <v>48</v>
      </c>
      <c r="AY502" s="13">
        <f t="shared" si="584"/>
        <v>165</v>
      </c>
    </row>
    <row r="503" spans="1:51">
      <c r="A503" s="7">
        <v>5137408</v>
      </c>
      <c r="B503" s="7"/>
      <c r="C503" s="33" t="s">
        <v>106</v>
      </c>
      <c r="D503" s="1" t="s">
        <v>47</v>
      </c>
      <c r="E503" s="3">
        <v>1</v>
      </c>
      <c r="F503" s="1" t="s">
        <v>48</v>
      </c>
      <c r="G503" s="1">
        <v>2531511</v>
      </c>
      <c r="H503" s="2" t="s">
        <v>59</v>
      </c>
      <c r="I503" s="5" t="s">
        <v>50</v>
      </c>
      <c r="J503" s="1">
        <v>901</v>
      </c>
      <c r="K503" s="13" t="str">
        <f t="shared" si="581"/>
        <v>F</v>
      </c>
      <c r="L503" s="1">
        <v>901</v>
      </c>
      <c r="M503" s="13" t="str">
        <f t="shared" si="582"/>
        <v>F</v>
      </c>
      <c r="AB503" s="7" t="str">
        <f t="shared" si="573"/>
        <v>0</v>
      </c>
      <c r="AC503" s="13" t="str">
        <f t="shared" si="574"/>
        <v>F</v>
      </c>
      <c r="AD503" s="13" t="str">
        <f t="shared" si="585"/>
        <v>165</v>
      </c>
      <c r="AE503" s="1">
        <v>550</v>
      </c>
      <c r="AF503" s="15">
        <f t="shared" si="583"/>
        <v>30</v>
      </c>
      <c r="AG503" s="13" t="str">
        <f t="shared" si="583"/>
        <v>ATKT</v>
      </c>
      <c r="AI503" s="1">
        <v>22</v>
      </c>
      <c r="AJ503" s="15">
        <f t="shared" si="586"/>
        <v>8</v>
      </c>
      <c r="AK503" s="16">
        <f t="shared" si="586"/>
        <v>38</v>
      </c>
      <c r="AL503" s="7">
        <f t="shared" si="586"/>
        <v>0</v>
      </c>
      <c r="AR503" s="7" t="str">
        <f t="shared" si="575"/>
        <v>F</v>
      </c>
      <c r="AS503" s="8">
        <f t="shared" si="576"/>
        <v>0</v>
      </c>
      <c r="AT503" s="8">
        <f t="shared" si="577"/>
        <v>0</v>
      </c>
      <c r="AU503" s="13">
        <f>IF(OR(UPPER(TRIM(AC503))="AB", AC503=901, AC503="901"), 0, IF(ISNUMBER(MATCH(UPPER(TRIM(AC503)), {"A+","A","B+","B","C","D","P"}, 0)), 2, 0))</f>
        <v>0</v>
      </c>
      <c r="AV503" s="13">
        <f t="shared" si="578"/>
        <v>0</v>
      </c>
      <c r="AW503">
        <f t="shared" si="579"/>
        <v>0</v>
      </c>
      <c r="AX503" s="1">
        <f t="shared" si="580"/>
        <v>0</v>
      </c>
      <c r="AY503" s="13">
        <f t="shared" si="584"/>
        <v>165</v>
      </c>
    </row>
    <row r="504" spans="1:51">
      <c r="A504" s="7">
        <v>5137408</v>
      </c>
      <c r="B504" s="7"/>
      <c r="C504" s="33" t="s">
        <v>106</v>
      </c>
      <c r="D504" s="1" t="s">
        <v>47</v>
      </c>
      <c r="E504" s="3">
        <v>1</v>
      </c>
      <c r="F504" s="1" t="s">
        <v>48</v>
      </c>
      <c r="G504" s="1">
        <v>2541515</v>
      </c>
      <c r="H504" s="2" t="s">
        <v>60</v>
      </c>
      <c r="I504" s="5" t="s">
        <v>50</v>
      </c>
      <c r="J504" s="1">
        <v>10</v>
      </c>
      <c r="K504" s="13" t="str">
        <f t="shared" si="581"/>
        <v>P</v>
      </c>
      <c r="L504" s="6">
        <v>901</v>
      </c>
      <c r="M504" s="13" t="str">
        <f t="shared" si="582"/>
        <v>F</v>
      </c>
      <c r="AB504" s="7" t="str">
        <f t="shared" si="573"/>
        <v>10</v>
      </c>
      <c r="AC504" s="13" t="str">
        <f t="shared" si="574"/>
        <v>F</v>
      </c>
      <c r="AD504" s="13" t="str">
        <f t="shared" si="585"/>
        <v>165</v>
      </c>
      <c r="AE504" s="1">
        <v>550</v>
      </c>
      <c r="AF504" s="15">
        <f t="shared" si="583"/>
        <v>30</v>
      </c>
      <c r="AG504" s="13" t="str">
        <f t="shared" si="583"/>
        <v>ATKT</v>
      </c>
      <c r="AI504" s="1">
        <v>22</v>
      </c>
      <c r="AJ504" s="15">
        <f t="shared" si="586"/>
        <v>8</v>
      </c>
      <c r="AK504" s="16">
        <f t="shared" si="586"/>
        <v>38</v>
      </c>
      <c r="AL504" s="7">
        <f t="shared" si="586"/>
        <v>0</v>
      </c>
      <c r="AR504" s="7" t="str">
        <f t="shared" si="575"/>
        <v>F</v>
      </c>
      <c r="AS504" s="8">
        <f t="shared" si="576"/>
        <v>0</v>
      </c>
      <c r="AT504" s="8">
        <f t="shared" si="577"/>
        <v>0</v>
      </c>
      <c r="AU504" s="13">
        <f>IF(OR(UPPER(TRIM(AC504))="AB", AC504=901, AC504="901"), 0, IF(ISNUMBER(MATCH(UPPER(TRIM(AC504)), {"A+","A","B+","B","C","D","P"}, 0)), 2, 0))</f>
        <v>0</v>
      </c>
      <c r="AV504" s="13">
        <f t="shared" si="578"/>
        <v>10</v>
      </c>
      <c r="AW504">
        <f t="shared" si="579"/>
        <v>10</v>
      </c>
      <c r="AX504" s="1">
        <f t="shared" si="580"/>
        <v>20</v>
      </c>
      <c r="AY504" s="13">
        <f t="shared" si="584"/>
        <v>165</v>
      </c>
    </row>
  </sheetData>
  <dataValidations count="7">
    <dataValidation allowBlank="1" showInputMessage="1" showErrorMessage="1" prompt="(DD-MM-YYYY)" sqref="AS1:AT1 AH1:AH1048576" xr:uid="{00000000-0002-0000-0000-000001000000}"/>
    <dataValidation type="whole" operator="greaterThan" allowBlank="1" showInputMessage="1" showErrorMessage="1" sqref="A1 A13 A25 A37 A49 A61 A73 A85 A97 A109 A121 A133 A145 A157 A169 A181 A193 A205 A217 A229 A241 A253 A265 A277 A289 A301 A313 A325 A337 A349 A361 A385 A373 A397 A409 A421 A433 A445 A457 A469 A481 A493 A505:A1048576" xr:uid="{00000000-0002-0000-0000-000004000000}">
      <formula1>0</formula1>
    </dataValidation>
    <dataValidation type="whole" allowBlank="1" showInputMessage="1" showErrorMessage="1" error="Please Enter value between 1 to 10" sqref="E1 E13 E25 E37 E49 E61 E73 E85 E97 E109 E121 E133 E145 E157 E169 E181 E193 E205 E217 E229 E241 E253 E265 E277 E289 E301 E313 E325 E337 E349 E361 E385 E373 E397 E409 E421 E433 E445 E457 E469 E481 E493 E505:E1048576" xr:uid="{00000000-0002-0000-0000-000005000000}">
      <formula1>1</formula1>
      <formula2>10</formula2>
    </dataValidation>
    <dataValidation type="decimal" allowBlank="1" showInputMessage="1" showErrorMessage="1" sqref="I1 I13 I25 I37 I49 I61 I73 I85 I97 I109 I121 I133 I145 I157 I169 I181 I193 I205 I217 I229 I241 I253 I265 I277 I289 I301 I313 I325 I337 I349 I361 I385 I373 I397 I409 I421 I433 I445 I457 I469 I481 I493 I505:I1048576" xr:uid="{00000000-0002-0000-0000-000006000000}">
      <formula1>0</formula1>
      <formula2>20</formula2>
    </dataValidation>
    <dataValidation type="list" allowBlank="1" showInputMessage="1" showErrorMessage="1" sqref="AG1:AG1048576" xr:uid="{00000000-0002-0000-0000-000000000000}">
      <formula1>"PASS,FAIL,ATKT"</formula1>
    </dataValidation>
    <dataValidation type="decimal" allowBlank="1" showInputMessage="1" showErrorMessage="1" error="Please Enter the value between 0 to 10" sqref="AQ1:AQ1048576 AL1:AL1048576" xr:uid="{00000000-0002-0000-0000-000002000000}">
      <formula1>0</formula1>
      <formula2>10</formula2>
    </dataValidation>
    <dataValidation type="whole" allowBlank="1" showInputMessage="1" showErrorMessage="1" sqref="AN1:AO1048576" xr:uid="{00000000-0002-0000-0000-000003000000}">
      <formula1>0</formula1>
      <formula2>1000</formula2>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7:E8"/>
  <sheetViews>
    <sheetView workbookViewId="0">
      <selection activeCell="E7" sqref="E7:E8"/>
    </sheetView>
  </sheetViews>
  <sheetFormatPr defaultColWidth="8.88671875" defaultRowHeight="14.4"/>
  <sheetData>
    <row r="7" spans="4:5">
      <c r="D7" t="s">
        <v>61</v>
      </c>
      <c r="E7" t="s">
        <v>62</v>
      </c>
    </row>
    <row r="8" spans="4:5">
      <c r="D8" t="s">
        <v>48</v>
      </c>
      <c r="E8"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Sachin Yadav</cp:lastModifiedBy>
  <dcterms:created xsi:type="dcterms:W3CDTF">2021-03-27T10:44:00Z</dcterms:created>
  <dcterms:modified xsi:type="dcterms:W3CDTF">2025-11-09T20:37:38Z</dcterms:modified>
</cp:coreProperties>
</file>